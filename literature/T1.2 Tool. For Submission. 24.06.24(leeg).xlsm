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643B0D74-A683-FBA9-23B4-8A0AA6E0B6B9}"/>
  <workbookPr codeName="ThisWorkbook"/>
  <mc:AlternateContent xmlns:mc="http://schemas.openxmlformats.org/markup-compatibility/2006">
    <mc:Choice Requires="x15">
      <x15ac:absPath xmlns:x15ac="http://schemas.microsoft.com/office/spreadsheetml/2010/11/ac" url="/Users/erik.vullings/Downloads/"/>
    </mc:Choice>
  </mc:AlternateContent>
  <xr:revisionPtr revIDLastSave="0" documentId="8_{604B8A28-D861-404C-BB5A-E35F7649D4AB}" xr6:coauthVersionLast="47" xr6:coauthVersionMax="47" xr10:uidLastSave="{00000000-0000-0000-0000-000000000000}"/>
  <bookViews>
    <workbookView xWindow="7060" yWindow="2060" windowWidth="20960" windowHeight="15340" activeTab="3" xr2:uid="{EB8C8CB7-4100-FB4F-8631-28E4F59C8A1D}"/>
  </bookViews>
  <sheets>
    <sheet name="Introduction" sheetId="4" r:id="rId1"/>
    <sheet name="Demand" sheetId="2" r:id="rId2"/>
    <sheet name="Supply" sheetId="3" r:id="rId3"/>
    <sheet name="Solution Uptake" sheetId="6" r:id="rId4"/>
    <sheet name="List" sheetId="5" state="hidden" r:id="rId5"/>
  </sheets>
  <definedNames>
    <definedName name="Mitigate">List!$X$2:$X$4</definedName>
    <definedName name="MitigateExposurereduction">List!$AD$2:$AD$4</definedName>
    <definedName name="MitigateMitigationSupport">List!$AE$2:$AE$3</definedName>
    <definedName name="MitigateRiskassessment">List!$AC$2:$AC$4</definedName>
    <definedName name="PHASE">List!$W$2:$W$5</definedName>
    <definedName name="Prepare">List!$Y$2:$Y$4</definedName>
    <definedName name="PrepareCapacitydevelopment">List!$AG$2:$AG$4</definedName>
    <definedName name="PrepareMonitoring">List!$AH$2:$AH$3</definedName>
    <definedName name="PreparePreparednesssupport">List!$AI$2:$AI$4</definedName>
    <definedName name="Recover">List!$AA$2:$AA$6</definedName>
    <definedName name="RecoverEconomicrecovery">List!$AW$2:$AW$3</definedName>
    <definedName name="RecoverEnvironmentalrecovery">List!$AV$2:$AV$3</definedName>
    <definedName name="RecoverHumanitarianrecovery">List!$AU$2:$AU$3</definedName>
    <definedName name="RecoverRecoverysupport">List!$AY$2:$AY$3</definedName>
    <definedName name="RecoverReestablishinfrastructure">List!$AX$2:$AX$3</definedName>
    <definedName name="Respond">List!$Z$2:$Z$10</definedName>
    <definedName name="RespondBasicneedssupply">List!$AR$2:$AR$6</definedName>
    <definedName name="RespondCommunicatetosociety">List!$AO$2:$AO$3</definedName>
    <definedName name="RespondDisasterclearance">List!$AQ$2:$AQ$5</definedName>
    <definedName name="RespondEmergencyhealthcare">List!$AN$2:$AN$5</definedName>
    <definedName name="RespondRescueoperations">List!$AL$2:$AL$4</definedName>
    <definedName name="RespondResponsesupport">List!$AS$2:$AS$7</definedName>
    <definedName name="RespondSafeguardpopulationandanimals">List!$AP$2:$AP$4</definedName>
    <definedName name="RespondSecurityandlawenforcement">List!$AM$2:$AM$6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4" i="2" l="1"/>
  <c r="AA14" i="2" s="1"/>
  <c r="Z12" i="2"/>
  <c r="AA12" i="2" s="1"/>
  <c r="I43" i="2"/>
  <c r="Z13" i="2"/>
  <c r="AA13" i="2" s="1"/>
  <c r="E14" i="2" l="1"/>
  <c r="C44" i="2" s="1"/>
  <c r="M12" i="2"/>
  <c r="E13" i="2"/>
  <c r="C43" i="2" s="1"/>
  <c r="C39" i="2"/>
  <c r="U42" i="2" l="1"/>
  <c r="U41" i="2"/>
  <c r="U40" i="2"/>
  <c r="U39" i="2"/>
  <c r="O41" i="2"/>
  <c r="O40" i="2"/>
  <c r="O39" i="2"/>
  <c r="I41" i="2"/>
  <c r="I40" i="2"/>
  <c r="I39" i="2"/>
  <c r="C41" i="2"/>
  <c r="C40" i="2"/>
  <c r="W24" i="2" a="1"/>
  <c r="W24" i="2" s="1"/>
  <c r="U24" i="2" a="1"/>
  <c r="U24" i="2" s="1"/>
  <c r="S24" i="2" a="1"/>
  <c r="S24" i="2" s="1"/>
  <c r="Q24" i="2" a="1"/>
  <c r="Q24" i="2" s="1"/>
  <c r="O24" i="2" a="1"/>
  <c r="O24" i="2" s="1"/>
  <c r="M24" i="2" a="1"/>
  <c r="M24" i="2" s="1"/>
  <c r="K24" i="2" a="1"/>
  <c r="K24" i="2" s="1"/>
  <c r="I24" i="2" a="1"/>
  <c r="I24" i="2" s="1"/>
  <c r="G24" i="2" a="1"/>
  <c r="G24" i="2" s="1"/>
  <c r="E24" i="2" a="1"/>
  <c r="E2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Eileen Murphy</author>
    <author>Ir. M.D.E. van der Lee</author>
  </authors>
  <commentList>
    <comment ref="A3" authorId="0" shapeId="0" xr:uid="{EF04306E-AE33-024C-B72A-64BD694D9ECD}">
      <text>
        <r>
          <rPr>
            <sz val="10"/>
            <color rgb="FF000000"/>
            <rFont val="Tahoma"/>
            <family val="2"/>
          </rPr>
          <t>Please include here the name(s) of the person(s) responsible for managing the assessment process and the name(s) of the person(s) who contributed to the assessment process.</t>
        </r>
      </text>
    </comment>
    <comment ref="E3" authorId="0" shapeId="0" xr:uid="{DDE7A4D0-0776-A949-8C37-156C4D5072B6}">
      <text>
        <r>
          <rPr>
            <sz val="10"/>
            <color rgb="FF000000"/>
            <rFont val="Tahoma"/>
            <family val="2"/>
          </rPr>
          <t>Please include here details on the goal(s) of the assessment.</t>
        </r>
      </text>
    </comment>
    <comment ref="M3" authorId="0" shapeId="0" xr:uid="{BB946547-ED59-004D-8735-5DFC4B15E886}">
      <text>
        <r>
          <rPr>
            <sz val="10"/>
            <color rgb="FF000000"/>
            <rFont val="Tahoma"/>
            <family val="2"/>
          </rPr>
          <t>Please include here a description of the current capability and capability gap to be assessed.</t>
        </r>
      </text>
    </comment>
    <comment ref="S3" authorId="0" shapeId="0" xr:uid="{2192F0DD-9139-884E-B570-B5F306E8A2F0}">
      <text>
        <r>
          <rPr>
            <sz val="10"/>
            <color rgb="FF000000"/>
            <rFont val="Tahoma"/>
            <family val="2"/>
          </rPr>
          <t xml:space="preserve">Use the dropdown list to select the hazard type most associated with the capability you wish to assess.
</t>
        </r>
        <r>
          <rPr>
            <sz val="10"/>
            <color rgb="FF000000"/>
            <rFont val="Tahoma"/>
            <family val="2"/>
          </rPr>
          <t>HAZARD: select ONE.</t>
        </r>
      </text>
    </comment>
    <comment ref="U3" authorId="0" shapeId="0" xr:uid="{F871C923-F497-714D-A627-61092E55FF6E}">
      <text>
        <r>
          <rPr>
            <sz val="10"/>
            <color rgb="FF000000"/>
            <rFont val="Tahoma"/>
            <family val="2"/>
          </rPr>
          <t>Use the dropdown lists to select the DR phase and group most associated with the capability you wish to assess.</t>
        </r>
      </text>
    </comment>
    <comment ref="A7" authorId="0" shapeId="0" xr:uid="{643B5E56-1A28-194F-A920-34466AD5E377}">
      <text>
        <r>
          <rPr>
            <sz val="10"/>
            <color rgb="FF000000"/>
            <rFont val="Tahoma"/>
            <family val="2"/>
          </rPr>
          <t xml:space="preserve">Use the dropdown list (under 'Response') to assess your CURRENT capability.
</t>
        </r>
        <r>
          <rPr>
            <sz val="10"/>
            <color rgb="FF000000"/>
            <rFont val="Tahoma"/>
            <family val="2"/>
          </rPr>
          <t xml:space="preserve">
</t>
        </r>
        <r>
          <rPr>
            <sz val="10"/>
            <color rgb="FF000000"/>
            <rFont val="Tahoma"/>
            <family val="2"/>
          </rPr>
          <t>Restrict your choice to ONE response per question.</t>
        </r>
      </text>
    </comment>
    <comment ref="I7" authorId="0" shapeId="0" xr:uid="{A9768DAE-1152-9D4C-AFE0-06277AB407C9}">
      <text>
        <r>
          <rPr>
            <sz val="12"/>
            <color rgb="FF000000"/>
            <rFont val="Aptos Narrow"/>
            <family val="2"/>
          </rPr>
          <t xml:space="preserve">Use the dropdown list (under 'Response') to assess your capability gap.
</t>
        </r>
        <r>
          <rPr>
            <sz val="12"/>
            <color rgb="FF000000"/>
            <rFont val="Aptos Narrow"/>
            <family val="2"/>
          </rPr>
          <t xml:space="preserve">
</t>
        </r>
        <r>
          <rPr>
            <sz val="12"/>
            <color rgb="FF000000"/>
            <rFont val="Aptos Narrow"/>
            <family val="2"/>
          </rPr>
          <t xml:space="preserve">Restrict your choice to ONE response per question.
</t>
        </r>
        <r>
          <rPr>
            <sz val="12"/>
            <color rgb="FF000000"/>
            <rFont val="Aptos Narrow"/>
            <family val="2"/>
          </rPr>
          <t xml:space="preserve">
</t>
        </r>
        <r>
          <rPr>
            <sz val="12"/>
            <color rgb="FF000000"/>
            <rFont val="Aptos Narrow"/>
            <family val="2"/>
          </rPr>
          <t>The severity of the capability gap is calculated as the maximum value of your response to the question set. The result will help to guide prioritisation.</t>
        </r>
      </text>
    </comment>
    <comment ref="Q7" authorId="0" shapeId="0" xr:uid="{5379C9B1-CC7F-C84A-AF24-56DC644F5AD6}">
      <text>
        <r>
          <rPr>
            <sz val="10"/>
            <color rgb="FF000000"/>
            <rFont val="Tahoma"/>
            <family val="2"/>
          </rPr>
          <t xml:space="preserve">Use the dropdown list to identify the main challenges preventing you from addressing the gap.
</t>
        </r>
        <r>
          <rPr>
            <sz val="10"/>
            <color rgb="FF000000"/>
            <rFont val="Tahoma"/>
            <family val="2"/>
          </rPr>
          <t xml:space="preserve">
</t>
        </r>
        <r>
          <rPr>
            <sz val="10"/>
            <color rgb="FF000000"/>
            <rFont val="Tahoma"/>
            <family val="2"/>
          </rPr>
          <t>Select as many responses needed.</t>
        </r>
      </text>
    </comment>
    <comment ref="U7" authorId="0" shapeId="0" xr:uid="{F3DF937F-2D93-4449-B39D-38E5737E36A7}">
      <text>
        <r>
          <rPr>
            <sz val="10"/>
            <color rgb="FF000000"/>
            <rFont val="Tahoma"/>
            <family val="2"/>
          </rPr>
          <t xml:space="preserve">Use the dropdown list to identify the functionality that you think would best help to address the gap.
</t>
        </r>
        <r>
          <rPr>
            <sz val="10"/>
            <color rgb="FF000000"/>
            <rFont val="Tahoma"/>
            <family val="2"/>
          </rPr>
          <t xml:space="preserve">
</t>
        </r>
        <r>
          <rPr>
            <sz val="10"/>
            <color rgb="FF000000"/>
            <rFont val="Aptos Narrow"/>
          </rPr>
          <t>Select as many responses needed.</t>
        </r>
      </text>
    </comment>
    <comment ref="A13" authorId="1" shapeId="0" xr:uid="{672FF7C4-3FE8-45CB-906E-A592A1A3F4A6}">
      <text>
        <r>
          <rPr>
            <b/>
            <sz val="10"/>
            <color rgb="FF000000"/>
            <rFont val="Tahoma"/>
            <family val="2"/>
          </rPr>
          <t>Impact of Capability:</t>
        </r>
        <r>
          <rPr>
            <sz val="10"/>
            <color rgb="FF000000"/>
            <rFont val="Tahoma"/>
            <family val="2"/>
          </rPr>
          <t xml:space="preserve">
</t>
        </r>
        <r>
          <rPr>
            <sz val="10"/>
            <color rgb="FF000000"/>
            <rFont val="Tahoma"/>
            <family val="2"/>
          </rPr>
          <t>Maximum value of the impact to prevent and the impact to respond.</t>
        </r>
        <r>
          <rPr>
            <sz val="9"/>
            <color rgb="FF000000"/>
            <rFont val="Tahoma"/>
            <family val="2"/>
          </rPr>
          <t xml:space="preserve">
</t>
        </r>
      </text>
    </comment>
    <comment ref="A14" authorId="1" shapeId="0" xr:uid="{830FDD44-F591-4A27-9D23-E9B3C9A3FCF1}">
      <text>
        <r>
          <rPr>
            <b/>
            <sz val="10"/>
            <color rgb="FF000000"/>
            <rFont val="Tahoma"/>
            <family val="2"/>
          </rPr>
          <t>Performance of capability:</t>
        </r>
        <r>
          <rPr>
            <sz val="10"/>
            <color rgb="FF000000"/>
            <rFont val="Tahoma"/>
            <family val="2"/>
          </rPr>
          <t xml:space="preserve">
</t>
        </r>
        <r>
          <rPr>
            <sz val="10"/>
            <color rgb="FF000000"/>
            <rFont val="Tahoma"/>
            <family val="2"/>
          </rPr>
          <t>Average value of safety level, effectiveness and efficiency.</t>
        </r>
        <r>
          <rPr>
            <sz val="9"/>
            <color rgb="FF000000"/>
            <rFont val="Tahoma"/>
            <family val="2"/>
          </rPr>
          <t xml:space="preserve">
</t>
        </r>
      </text>
    </comment>
    <comment ref="A17" authorId="0" shapeId="0" xr:uid="{358B4DA1-CAC4-F04E-9B16-29593951C844}">
      <text>
        <r>
          <rPr>
            <sz val="10"/>
            <color rgb="FF000000"/>
            <rFont val="Tahoma"/>
            <family val="2"/>
          </rPr>
          <t>Please include here the name of the person(s) completing the assessment.</t>
        </r>
      </text>
    </comment>
    <comment ref="E17" authorId="0" shapeId="0" xr:uid="{DBB05F37-E079-1341-B1D3-82FF1132F1F3}">
      <text>
        <r>
          <rPr>
            <sz val="10"/>
            <color rgb="FF000000"/>
            <rFont val="Tahoma"/>
            <family val="2"/>
          </rPr>
          <t>Please include here details on the goal(s) of the assessment.</t>
        </r>
      </text>
    </comment>
    <comment ref="M17" authorId="0" shapeId="0" xr:uid="{8DB88386-87E5-7C46-A285-10C8E17E778E}">
      <text>
        <r>
          <rPr>
            <sz val="10"/>
            <color rgb="FF000000"/>
            <rFont val="Tahoma"/>
            <family val="2"/>
          </rPr>
          <t>Please include here a description of the solution to be assessed.</t>
        </r>
      </text>
    </comment>
    <comment ref="S17" authorId="0" shapeId="0" xr:uid="{9955E82C-1A53-BF41-8381-94AEAA536F27}">
      <text>
        <r>
          <rPr>
            <sz val="10"/>
            <color rgb="FF000000"/>
            <rFont val="Tahoma"/>
            <family val="34"/>
          </rPr>
          <t xml:space="preserve">Use the dropdown list to select the hazard type most associated with the use of the solution.
</t>
        </r>
        <r>
          <rPr>
            <sz val="10"/>
            <color rgb="FF000000"/>
            <rFont val="Tahoma"/>
            <family val="34"/>
          </rPr>
          <t xml:space="preserve">
</t>
        </r>
        <r>
          <rPr>
            <sz val="10"/>
            <color rgb="FF000000"/>
            <rFont val="Tahoma"/>
            <family val="34"/>
          </rPr>
          <t>Select ONE response.</t>
        </r>
      </text>
    </comment>
    <comment ref="U17" authorId="0" shapeId="0" xr:uid="{6C8A09DE-7873-7343-8CE5-A68613942EE3}">
      <text>
        <r>
          <rPr>
            <sz val="10"/>
            <color rgb="FF000000"/>
            <rFont val="Tahoma"/>
            <family val="2"/>
          </rPr>
          <t xml:space="preserve">Use the dropdown list to select the capability phase and group the solution is expected to address.
</t>
        </r>
      </text>
    </comment>
    <comment ref="A21" authorId="0" shapeId="0" xr:uid="{976940D7-37C1-6547-ACB4-7B96BD8C81E7}">
      <text>
        <r>
          <rPr>
            <sz val="10"/>
            <color rgb="FF000000"/>
            <rFont val="Tahoma"/>
            <family val="2"/>
          </rPr>
          <t xml:space="preserve">Use the dropdown list to select the level that best describes the stage of solution development.
</t>
        </r>
        <r>
          <rPr>
            <sz val="10"/>
            <color rgb="FF000000"/>
            <rFont val="Tahoma"/>
            <family val="2"/>
          </rPr>
          <t xml:space="preserve">
</t>
        </r>
        <r>
          <rPr>
            <sz val="10"/>
            <color rgb="FF000000"/>
            <rFont val="Tahoma"/>
            <family val="2"/>
          </rPr>
          <t xml:space="preserve">Exploring: getting things started.
</t>
        </r>
        <r>
          <rPr>
            <sz val="10"/>
            <color rgb="FF000000"/>
            <rFont val="Tahoma"/>
            <family val="2"/>
          </rPr>
          <t xml:space="preserve">
</t>
        </r>
        <r>
          <rPr>
            <sz val="10"/>
            <color rgb="FF000000"/>
            <rFont val="Tahoma"/>
            <family val="2"/>
          </rPr>
          <t xml:space="preserve">Business ready: advanced market preparations, requires further solution development.
</t>
        </r>
        <r>
          <rPr>
            <sz val="10"/>
            <color rgb="FF000000"/>
            <rFont val="Tahoma"/>
            <family val="2"/>
          </rPr>
          <t xml:space="preserve">
</t>
        </r>
        <r>
          <rPr>
            <sz val="10"/>
            <color rgb="FF000000"/>
            <rFont val="Tahoma"/>
            <family val="2"/>
          </rPr>
          <t xml:space="preserve">Solution ready: advanced solution development, focus on commercialisation.
</t>
        </r>
        <r>
          <rPr>
            <sz val="10"/>
            <color rgb="FF000000"/>
            <rFont val="Tahoma"/>
            <family val="2"/>
          </rPr>
          <t xml:space="preserve">
</t>
        </r>
        <r>
          <rPr>
            <sz val="10"/>
            <color rgb="FF000000"/>
            <rFont val="Tahoma"/>
            <family val="2"/>
          </rPr>
          <t>Market ready: mature solutions that are ready to go to market.</t>
        </r>
      </text>
    </comment>
    <comment ref="E21" authorId="0" shapeId="0" xr:uid="{DD607772-D21D-4B49-8CF1-D7C6980AF017}">
      <text>
        <r>
          <rPr>
            <sz val="10"/>
            <color rgb="FF000000"/>
            <rFont val="Tahoma"/>
            <family val="2"/>
          </rPr>
          <t xml:space="preserve">Use the dropdown lists to assess the compliance of the solution.
</t>
        </r>
        <r>
          <rPr>
            <sz val="10"/>
            <color rgb="FF000000"/>
            <rFont val="Tahoma"/>
            <family val="2"/>
          </rPr>
          <t xml:space="preserve">
</t>
        </r>
        <r>
          <rPr>
            <sz val="10"/>
            <color rgb="FF000000"/>
            <rFont val="Tahoma"/>
            <family val="2"/>
          </rPr>
          <t xml:space="preserve">Select ONE response per compliance topic.
</t>
        </r>
        <r>
          <rPr>
            <sz val="10"/>
            <color rgb="FF000000"/>
            <rFont val="Tahoma"/>
            <family val="2"/>
          </rPr>
          <t xml:space="preserve">
</t>
        </r>
        <r>
          <rPr>
            <sz val="10"/>
            <color rgb="FF000000"/>
            <rFont val="Tahoma"/>
            <family val="2"/>
          </rPr>
          <t xml:space="preserve">Supporting actions are recommended based on your selection, as outlined in the user guide.
</t>
        </r>
      </text>
    </comment>
    <comment ref="E22" authorId="0" shapeId="0" xr:uid="{9012A3FB-4105-E64D-AEA4-E44A6995A463}">
      <text>
        <r>
          <rPr>
            <sz val="10"/>
            <color rgb="FF000000"/>
            <rFont val="Aptos Narrow"/>
          </rPr>
          <t xml:space="preserve">Refers to compliance with the necessary (cyber) security measures to ensure the solution is safe for use. </t>
        </r>
      </text>
    </comment>
    <comment ref="G22" authorId="0" shapeId="0" xr:uid="{17B76153-4400-B045-AC7D-61CAE03751B4}">
      <text>
        <r>
          <rPr>
            <sz val="10"/>
            <color rgb="FF000000"/>
            <rFont val="Aptos Narrow"/>
          </rPr>
          <t>Refers to compliance with the European Interoperability Framework.</t>
        </r>
      </text>
    </comment>
    <comment ref="I22" authorId="0" shapeId="0" xr:uid="{F69DF1D4-E196-E647-91D5-891610A77278}">
      <text>
        <r>
          <rPr>
            <sz val="10"/>
            <color rgb="FF000000"/>
            <rFont val="Aptos Narrow"/>
          </rPr>
          <t xml:space="preserve">Refers to compliance with the Artificial Intelligence Act (AI Act), establishing a common regulatory and legal framework for the development and deployment AI solutions in the EU. </t>
        </r>
      </text>
    </comment>
    <comment ref="K22" authorId="0" shapeId="0" xr:uid="{C3DFCF79-69CD-A047-95BD-E612EE6FA3C2}">
      <text>
        <r>
          <rPr>
            <sz val="10"/>
            <color rgb="FF000000"/>
            <rFont val="Aptos Narrow"/>
          </rPr>
          <t xml:space="preserve">Refers to the engagement and empowerment of community actors and citizens as part of enhancing disaster resilience. </t>
        </r>
      </text>
    </comment>
    <comment ref="M22" authorId="0" shapeId="0" xr:uid="{1BF70147-4853-3D45-964A-4BE096093E1D}">
      <text>
        <r>
          <rPr>
            <sz val="10"/>
            <color rgb="FF000000"/>
            <rFont val="Aptos Narrow"/>
          </rPr>
          <t>Refers to compliance with the General Data Protection Regulation, regulating information privacy across the EU.</t>
        </r>
      </text>
    </comment>
    <comment ref="O22" authorId="0" shapeId="0" xr:uid="{84B41F89-DE28-014C-915D-4AD2103729F1}">
      <text>
        <r>
          <rPr>
            <sz val="10"/>
            <color rgb="FF000000"/>
            <rFont val="Aptos Narrow"/>
          </rPr>
          <t xml:space="preserve">Refers to compliance with the protection of fundamental rights, as the basic rights and freedoms guaranteed to individuals under the European Convention for the Protection of Human Rights and Fundamental Freedoms and the Charter of Fundamental Rights of the European Union. </t>
        </r>
      </text>
    </comment>
    <comment ref="Q22" authorId="0" shapeId="0" xr:uid="{84238512-329D-F54B-B8CD-62EEF04A107B}">
      <text>
        <r>
          <rPr>
            <sz val="10"/>
            <color rgb="FF000000"/>
            <rFont val="Aptos Narrow"/>
          </rPr>
          <t>Refers to compliance with the sustainable development goals, along with the Sendai Framework and The Paris Agreement on climate change.</t>
        </r>
      </text>
    </comment>
    <comment ref="A26" authorId="0" shapeId="0" xr:uid="{5DFB64B6-8F5C-AA46-AE83-EC351C10FBB5}">
      <text>
        <r>
          <rPr>
            <sz val="10"/>
            <color rgb="FF000000"/>
            <rFont val="Tahoma"/>
            <family val="2"/>
          </rPr>
          <t xml:space="preserve">Use the dropdown list to assess the solution against its likelihood to be compatible with user needs.
</t>
        </r>
        <r>
          <rPr>
            <sz val="10"/>
            <color rgb="FF000000"/>
            <rFont val="Tahoma"/>
            <family val="2"/>
          </rPr>
          <t xml:space="preserve">
</t>
        </r>
        <r>
          <rPr>
            <sz val="10"/>
            <color rgb="FF000000"/>
            <rFont val="Tahoma"/>
            <family val="2"/>
          </rPr>
          <t>Restrict your choice to ONE response per question.</t>
        </r>
      </text>
    </comment>
    <comment ref="G26" authorId="0" shapeId="0" xr:uid="{B306591E-B467-9743-96CB-639C234CA3A0}">
      <text>
        <r>
          <rPr>
            <sz val="10"/>
            <color rgb="FF000000"/>
            <rFont val="Tahoma"/>
            <family val="34"/>
          </rPr>
          <t xml:space="preserve">Use the dropdown list to assess the solution against its likelihood to be compatible with operational needs.
</t>
        </r>
        <r>
          <rPr>
            <sz val="10"/>
            <color rgb="FF000000"/>
            <rFont val="Aptos Narrow"/>
          </rPr>
          <t xml:space="preserve">
</t>
        </r>
        <r>
          <rPr>
            <sz val="10"/>
            <color rgb="FF000000"/>
            <rFont val="Aptos Narrow"/>
          </rPr>
          <t xml:space="preserve">Restrict your choice to ONE response per question.
</t>
        </r>
      </text>
    </comment>
    <comment ref="M26" authorId="0" shapeId="0" xr:uid="{2385A9D3-AAA7-A046-8B2F-13876535D627}">
      <text>
        <r>
          <rPr>
            <sz val="10"/>
            <color rgb="FF000000"/>
            <rFont val="Tahoma"/>
            <family val="34"/>
          </rPr>
          <t xml:space="preserve">Use the dropdown list to assess the solution against its likelihood to be compatible with organisational needs.
</t>
        </r>
        <r>
          <rPr>
            <sz val="10"/>
            <color rgb="FF000000"/>
            <rFont val="Aptos Narrow"/>
          </rPr>
          <t xml:space="preserve">
</t>
        </r>
        <r>
          <rPr>
            <sz val="10"/>
            <color rgb="FF000000"/>
            <rFont val="Aptos Narrow"/>
          </rPr>
          <t>Restrict your choice to ONE response per question.</t>
        </r>
      </text>
    </comment>
    <comment ref="S26" authorId="0" shapeId="0" xr:uid="{BE12237C-7BDC-6B40-BDA5-5111578BD56A}">
      <text>
        <r>
          <rPr>
            <sz val="10"/>
            <color rgb="FF000000"/>
            <rFont val="Tahoma"/>
            <family val="34"/>
          </rPr>
          <t xml:space="preserve">Use the dropdown list to assess the solution for its expected impact.
</t>
        </r>
        <r>
          <rPr>
            <sz val="10"/>
            <color rgb="FF000000"/>
            <rFont val="Aptos Narrow"/>
          </rPr>
          <t xml:space="preserve">
</t>
        </r>
        <r>
          <rPr>
            <sz val="10"/>
            <color rgb="FF000000"/>
            <rFont val="Aptos Narrow"/>
            <scheme val="minor"/>
          </rPr>
          <t>Restrict your choice to ONE response per question.</t>
        </r>
      </text>
    </comment>
    <comment ref="A52" authorId="0" shapeId="0" xr:uid="{884CF8CC-780B-CD46-B33C-B14D6EED8FFA}">
      <text>
        <r>
          <rPr>
            <sz val="10"/>
            <color rgb="FF000000"/>
            <rFont val="Tahoma"/>
            <family val="34"/>
          </rPr>
          <t xml:space="preserve">These questions prompt reflection on how well the solution meets your needs.
</t>
        </r>
        <r>
          <rPr>
            <sz val="10"/>
            <color rgb="FF000000"/>
            <rFont val="Tahoma"/>
            <family val="34"/>
          </rPr>
          <t xml:space="preserve">
</t>
        </r>
        <r>
          <rPr>
            <sz val="10"/>
            <color rgb="FF000000"/>
            <rFont val="Tahoma"/>
            <family val="34"/>
          </rPr>
          <t xml:space="preserve">Further resources on these topics are available under Annex 2, D1.2 on the DIREKTION website: https://www.fire-in.eu </t>
        </r>
      </text>
    </comment>
    <comment ref="M52" authorId="0" shapeId="0" xr:uid="{0A17CA75-47AA-F842-B5AE-7A0EABE181DB}">
      <text>
        <r>
          <rPr>
            <sz val="10"/>
            <color rgb="FF000000"/>
            <rFont val="Tahoma"/>
            <family val="34"/>
          </rPr>
          <t xml:space="preserve">These questions prompt reflection on the solution adoption process.
</t>
        </r>
        <r>
          <rPr>
            <sz val="10"/>
            <color rgb="FF000000"/>
            <rFont val="Tahoma"/>
            <family val="34"/>
          </rPr>
          <t xml:space="preserve">
</t>
        </r>
        <r>
          <rPr>
            <sz val="10"/>
            <color rgb="FF000000"/>
            <rFont val="Tahoma"/>
            <family val="34"/>
          </rPr>
          <t>Further resources on these topics are available under Annex 2, D1.2, on the DIREKTION website: https://www.fire-in.eu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Eileen Murphy</author>
  </authors>
  <commentList>
    <comment ref="A3" authorId="0" shapeId="0" xr:uid="{A8B4F6E9-5B84-3D42-82C5-A7B226034BD6}">
      <text>
        <r>
          <rPr>
            <sz val="10"/>
            <color rgb="FF000000"/>
            <rFont val="Tahoma"/>
            <family val="2"/>
          </rPr>
          <t>Please include here a description of the solution to be assessed.</t>
        </r>
      </text>
    </comment>
    <comment ref="F3" authorId="0" shapeId="0" xr:uid="{E1AABE13-58D2-6549-AB6B-7B68A1697E9F}">
      <text>
        <r>
          <rPr>
            <sz val="10"/>
            <color rgb="FF000000"/>
            <rFont val="Tahoma"/>
            <family val="2"/>
          </rPr>
          <t xml:space="preserve">Please use the dropdown list provided to select the functionality that best describes your solution.
</t>
        </r>
      </text>
    </comment>
    <comment ref="K3" authorId="0" shapeId="0" xr:uid="{103C2E11-1435-F546-8716-684ABF13FEEF}">
      <text>
        <r>
          <rPr>
            <sz val="10"/>
            <color rgb="FF000000"/>
            <rFont val="Tahoma"/>
            <family val="34"/>
          </rPr>
          <t xml:space="preserve">Use the dropdown lists to select the DR phase, capability group, and task that best describe the capability the solution supports.
</t>
        </r>
        <r>
          <rPr>
            <sz val="10"/>
            <color rgb="FF000000"/>
            <rFont val="Tahoma"/>
            <family val="34"/>
          </rPr>
          <t xml:space="preserve">
</t>
        </r>
        <r>
          <rPr>
            <sz val="10"/>
            <color rgb="FF000000"/>
            <rFont val="Tahoma"/>
            <family val="34"/>
          </rPr>
          <t xml:space="preserve">DR PHASE: select ONE.
</t>
        </r>
        <r>
          <rPr>
            <sz val="10"/>
            <color rgb="FF000000"/>
            <rFont val="Tahoma"/>
            <family val="34"/>
          </rPr>
          <t xml:space="preserve">Capability Group: select ONE.
</t>
        </r>
        <r>
          <rPr>
            <sz val="10"/>
            <color rgb="FF000000"/>
            <rFont val="Tahoma"/>
            <family val="34"/>
          </rPr>
          <t xml:space="preserve">Task: select as needed.
</t>
        </r>
      </text>
    </comment>
    <comment ref="A8" authorId="0" shapeId="0" xr:uid="{B1909266-CED6-824F-844C-08B54467BB74}">
      <text>
        <r>
          <rPr>
            <sz val="10"/>
            <color rgb="FF000000"/>
            <rFont val="Aptos Narrow"/>
          </rPr>
          <t>Assesses the maturity of solution development on a scale of 1-9.</t>
        </r>
      </text>
    </comment>
    <comment ref="C8" authorId="0" shapeId="0" xr:uid="{C737C16A-342A-F44E-B14E-0A515BE6A221}">
      <text>
        <r>
          <rPr>
            <sz val="10"/>
            <color rgb="FF000000"/>
            <rFont val="Aptos Narrow"/>
          </rPr>
          <t>Assesses the maturity of security factors for a solution on a scale of 1-10.</t>
        </r>
      </text>
    </comment>
    <comment ref="E8" authorId="0" shapeId="0" xr:uid="{5FFB9175-418D-414B-A578-AC16BCD847AA}">
      <text>
        <r>
          <rPr>
            <sz val="10"/>
            <color rgb="FF000000"/>
            <rFont val="Aptos Narrow"/>
          </rPr>
          <t>Assesses the maturity of a manufacturing process on a scale of 1-9.</t>
        </r>
      </text>
    </comment>
    <comment ref="G8" authorId="0" shapeId="0" xr:uid="{15FA8E00-16C1-F746-BFB0-97FCA1603B18}">
      <text>
        <r>
          <rPr>
            <sz val="10"/>
            <color rgb="FF000000"/>
            <rFont val="Aptos Narrow"/>
          </rPr>
          <t>Assesses the integration maturity of various technologies  on a scale of 1-9.</t>
        </r>
      </text>
    </comment>
    <comment ref="I8" authorId="0" shapeId="0" xr:uid="{1779F70F-EEF9-7E4C-9144-7E5AF932A108}">
      <text>
        <r>
          <rPr>
            <sz val="10"/>
            <color rgb="FF000000"/>
            <rFont val="Aptos Narrow"/>
          </rPr>
          <t>Assesses the novelty and scalability of a solution on a scale of 1-9.</t>
        </r>
      </text>
    </comment>
    <comment ref="K8" authorId="0" shapeId="0" xr:uid="{87500FFC-7306-DF41-A78E-36EC085E0911}">
      <text>
        <r>
          <rPr>
            <sz val="10"/>
            <color rgb="FF000000"/>
            <rFont val="Tahoma"/>
            <family val="2"/>
          </rPr>
          <t>Assesses</t>
        </r>
        <r>
          <rPr>
            <b/>
            <sz val="10"/>
            <color rgb="FF000000"/>
            <rFont val="Tahoma"/>
            <family val="2"/>
          </rPr>
          <t xml:space="preserve"> </t>
        </r>
        <r>
          <rPr>
            <sz val="10"/>
            <color rgb="FF000000"/>
            <rFont val="Aptos Narrow"/>
          </rPr>
          <t xml:space="preserve">the readiness of society to accept a particular innovation on a scale of 1-9.
</t>
        </r>
        <r>
          <rPr>
            <sz val="10"/>
            <color rgb="FF000000"/>
            <rFont val="Tahoma"/>
            <family val="2"/>
          </rPr>
          <t xml:space="preserve">
</t>
        </r>
      </text>
    </comment>
    <comment ref="M8" authorId="0" shapeId="0" xr:uid="{702D6D79-9CB3-1845-A0FA-A628D48182F4}">
      <text>
        <r>
          <rPr>
            <sz val="10"/>
            <color rgb="FF000000"/>
            <rFont val="Aptos Narrow"/>
          </rPr>
          <t xml:space="preserve">Assesses the legal, privacy, and ethical maturity of a solution on a scale of 1-4.
</t>
        </r>
      </text>
    </comment>
    <comment ref="A12" authorId="0" shapeId="0" xr:uid="{EA500DE5-0C84-4549-AB1F-5DA145EC9A97}">
      <text>
        <r>
          <rPr>
            <sz val="10"/>
            <color rgb="FF000000"/>
            <rFont val="Tahoma"/>
            <family val="2"/>
          </rPr>
          <t xml:space="preserve">These questions prompt reflection on how well the solution meets the needs of your customers.
</t>
        </r>
        <r>
          <rPr>
            <sz val="10"/>
            <color rgb="FF000000"/>
            <rFont val="Tahoma"/>
            <family val="2"/>
          </rPr>
          <t xml:space="preserve">
</t>
        </r>
        <r>
          <rPr>
            <sz val="10"/>
            <color rgb="FF000000"/>
            <rFont val="Aptos Narrow"/>
          </rPr>
          <t xml:space="preserve">Further resources on these topics are available under Annex 2, D1.2 on the DIREKTION website: https://www.fire-in.eu </t>
        </r>
      </text>
    </comment>
    <comment ref="I12" authorId="0" shapeId="0" xr:uid="{06BE0BF7-287A-2F4C-823F-89AF0109BA20}">
      <text>
        <r>
          <rPr>
            <sz val="10"/>
            <color rgb="FF000000"/>
            <rFont val="Tahoma"/>
            <family val="34"/>
          </rPr>
          <t xml:space="preserve">These questions prompt reflection on the solution supply process.
</t>
        </r>
        <r>
          <rPr>
            <sz val="10"/>
            <color rgb="FF000000"/>
            <rFont val="Tahoma"/>
            <family val="34"/>
          </rPr>
          <t xml:space="preserve">
</t>
        </r>
        <r>
          <rPr>
            <sz val="10"/>
            <color rgb="FF000000"/>
            <rFont val="Aptos Narrow"/>
            <scheme val="minor"/>
          </rPr>
          <t xml:space="preserve">Further resources on these topics are available under Annex 2, D1.2 on the DIREKTION website: https://www.fire-in.eu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Eileen Murphy</author>
  </authors>
  <commentList>
    <comment ref="A3" authorId="0" shapeId="0" xr:uid="{D0F63B69-E289-4342-873D-91C886B52A1B}">
      <text>
        <r>
          <rPr>
            <sz val="10"/>
            <color rgb="FF000000"/>
            <rFont val="Tahoma"/>
            <family val="2"/>
          </rPr>
          <t>These questions are designed to promote dialogue and discussion between demand and supply side actors and should be answered collaboratively.</t>
        </r>
      </text>
    </comment>
    <comment ref="A9" authorId="0" shapeId="0" xr:uid="{64CCA562-0DDC-2A40-80FE-51F323EF78C0}">
      <text>
        <r>
          <rPr>
            <sz val="10"/>
            <color rgb="FF000000"/>
            <rFont val="Tahoma"/>
            <family val="2"/>
          </rPr>
          <t>These tactics offer suggestions on how demand and supply side actors can engage in solution scaling and should be answered collaboratively.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<sst xmlns="http://schemas.openxmlformats.org/spreadsheetml/2006/main" count="496" uniqueCount="409">
  <si>
    <r>
      <rPr>
        <b/>
        <sz val="22"/>
        <color theme="0"/>
        <rFont val="Calibri"/>
        <family val="2"/>
      </rPr>
      <t xml:space="preserve">
</t>
    </r>
    <r>
      <rPr>
        <b/>
        <sz val="36"/>
        <color theme="0"/>
        <rFont val="Calibri"/>
        <family val="2"/>
      </rPr>
      <t xml:space="preserve">
DIREKTION TOOLSET</t>
    </r>
  </si>
  <si>
    <r>
      <rPr>
        <b/>
        <sz val="24"/>
        <color theme="1"/>
        <rFont val="Aptos Narrow (Body)"/>
      </rPr>
      <t>Background:</t>
    </r>
    <r>
      <rPr>
        <b/>
        <sz val="18"/>
        <color theme="1"/>
        <rFont val="Aptos Narrow"/>
        <family val="2"/>
        <scheme val="minor"/>
      </rPr>
      <t xml:space="preserve">
</t>
    </r>
    <r>
      <rPr>
        <sz val="24"/>
        <color theme="1"/>
        <rFont val="Aptos Narrow (Body)"/>
      </rPr>
      <t xml:space="preserve">- The purpose of this tool is to support collaborative assessment of solutions for identified disaster management capability gaps.
- The tool will assist responder organisations in assessing current and future solutions, supporting demand-led innovation, solution uptake and investment of resources.
- The tool has been developed as part of the DIREKTION project. DIREKTION has been funded as a Coordinated Support Action (CSA) and builds on existing research and state of the art approaches in the domain. For further information on the DIREKTION project, see: https://www.fire-in.eu 
- The tool is being developed in cooperation with responders organisations. Any feedback/comments on the tool design is greatly welcomed. Please send your thoughts to: info@fire-in.eu </t>
    </r>
  </si>
  <si>
    <r>
      <rPr>
        <b/>
        <sz val="24"/>
        <color theme="1"/>
        <rFont val="Aptos Narrow (Body)"/>
      </rPr>
      <t>How to use the tool:</t>
    </r>
    <r>
      <rPr>
        <sz val="24"/>
        <color theme="1"/>
        <rFont val="Aptos Narrow (Body)"/>
      </rPr>
      <t xml:space="preserve">
- Detailed instructions on how to use the tool can be found in the accompanying User Guide. We strongly encourage you to read the user guide.
- High-level guidance is provided on the first row of each sheet.
- Supporting notes/comments can be found in red tabs on the heading of columns.
- Descriptions of each sheet are summarised below.</t>
    </r>
  </si>
  <si>
    <r>
      <t xml:space="preserve">Supply - to be completed by the SOLUTION PROVIDER(S)
</t>
    </r>
    <r>
      <rPr>
        <sz val="24"/>
        <color theme="1"/>
        <rFont val="Aptos Narrow (Body)"/>
      </rPr>
      <t>- Step 0 captures baseline information for the assessment process.
- Step 1 asks  solution providers to assess their solution according to a series of readiness scales.
- Step 2 asks solution providers to reflect on their innovation needs and willingness to supply/participate in the market.</t>
    </r>
  </si>
  <si>
    <r>
      <rPr>
        <b/>
        <sz val="24"/>
        <color theme="1"/>
        <rFont val="Aptos Narrow (Body)"/>
      </rPr>
      <t>Solution Uptake - to be completed COLLABORATIVELY</t>
    </r>
    <r>
      <rPr>
        <sz val="24"/>
        <color theme="1"/>
        <rFont val="Aptos Narrow (Body)"/>
      </rPr>
      <t xml:space="preserve">
- This component is designed to drive collaborative discussion and dialogue between Demand and Supply side actors and strengthen the innovation process.
- Step 1 asks participants to discuss theirs innovation needs as the basis for solution development and adoption.
- Step 2 asks participants to discuss suggested tactics for solution scaling up and opportunities to collaborate in relation to the adoption of future innovations.</t>
    </r>
  </si>
  <si>
    <t>STEP 0. PREPARATION: CAPABILITY GAP ASSESSMENT</t>
  </si>
  <si>
    <t>NAME(S)</t>
  </si>
  <si>
    <t>ASSESSMENT OBJECTIVES</t>
  </si>
  <si>
    <t>CAPABILITY (GAP) DESCRIPTION</t>
  </si>
  <si>
    <t>DRM  HAZARD</t>
  </si>
  <si>
    <t>CAPABILITY</t>
  </si>
  <si>
    <t>Assessment owner(s)</t>
  </si>
  <si>
    <t>HAZARD</t>
  </si>
  <si>
    <t xml:space="preserve"> DR PHASE</t>
  </si>
  <si>
    <t>CAPABILITY GROUP</t>
  </si>
  <si>
    <t>Assessment contributor(s)</t>
  </si>
  <si>
    <t>STEP 1. CAPABILITY GAP ASSESSMENT</t>
  </si>
  <si>
    <t>CURRENT CAPABILITY</t>
  </si>
  <si>
    <t>RESPONSE</t>
  </si>
  <si>
    <t>COMMENTS</t>
  </si>
  <si>
    <t>CAPABILITY GAP</t>
  </si>
  <si>
    <t>CHALLENGE(S) TO ADDRESSING THE GAP</t>
  </si>
  <si>
    <t>FUNCTIONALITIES  REQUIRED TO ADDRESS THE GAP</t>
  </si>
  <si>
    <r>
      <t>What is the</t>
    </r>
    <r>
      <rPr>
        <b/>
        <sz val="12"/>
        <color theme="1"/>
        <rFont val="Aptos Narrow"/>
        <scheme val="minor"/>
      </rPr>
      <t xml:space="preserve"> impact</t>
    </r>
    <r>
      <rPr>
        <sz val="12"/>
        <color theme="1"/>
        <rFont val="Aptos Narrow"/>
        <family val="2"/>
        <scheme val="minor"/>
      </rPr>
      <t xml:space="preserve"> of this capability on your ability to </t>
    </r>
    <r>
      <rPr>
        <sz val="12"/>
        <color theme="1"/>
        <rFont val="Aptos Narrow"/>
        <scheme val="minor"/>
      </rPr>
      <t>prevent</t>
    </r>
    <r>
      <rPr>
        <sz val="12"/>
        <color theme="1"/>
        <rFont val="Aptos Narrow"/>
        <family val="2"/>
        <scheme val="minor"/>
      </rPr>
      <t xml:space="preserve"> your selected hazard type?</t>
    </r>
  </si>
  <si>
    <r>
      <t xml:space="preserve">What is the </t>
    </r>
    <r>
      <rPr>
        <b/>
        <sz val="12"/>
        <color theme="1"/>
        <rFont val="Aptos Narrow"/>
        <scheme val="minor"/>
      </rPr>
      <t>likelihood</t>
    </r>
    <r>
      <rPr>
        <sz val="12"/>
        <color theme="1"/>
        <rFont val="Aptos Narrow"/>
        <family val="2"/>
        <scheme val="minor"/>
      </rPr>
      <t xml:space="preserve"> that addressing the gap will improve your ability to prevent the selected hazard type?</t>
    </r>
  </si>
  <si>
    <r>
      <t xml:space="preserve">What is the </t>
    </r>
    <r>
      <rPr>
        <b/>
        <sz val="12"/>
        <color theme="1"/>
        <rFont val="Aptos Narrow"/>
        <scheme val="minor"/>
      </rPr>
      <t>impact</t>
    </r>
    <r>
      <rPr>
        <sz val="12"/>
        <color theme="1"/>
        <rFont val="Aptos Narrow"/>
        <family val="2"/>
        <scheme val="minor"/>
      </rPr>
      <t xml:space="preserve"> of this capability on your ability to </t>
    </r>
    <r>
      <rPr>
        <sz val="12"/>
        <color theme="1"/>
        <rFont val="Aptos Narrow"/>
        <scheme val="minor"/>
      </rPr>
      <t>respond</t>
    </r>
    <r>
      <rPr>
        <sz val="12"/>
        <color theme="1"/>
        <rFont val="Aptos Narrow"/>
        <family val="2"/>
        <scheme val="minor"/>
      </rPr>
      <t xml:space="preserve"> to your selected hazard type?</t>
    </r>
  </si>
  <si>
    <r>
      <rPr>
        <sz val="12"/>
        <color rgb="FF000000"/>
        <rFont val="Aptos Narrow"/>
        <scheme val="minor"/>
      </rPr>
      <t xml:space="preserve">What is the </t>
    </r>
    <r>
      <rPr>
        <b/>
        <sz val="12"/>
        <color rgb="FF000000"/>
        <rFont val="Aptos Narrow"/>
        <scheme val="minor"/>
      </rPr>
      <t>likelihood</t>
    </r>
    <r>
      <rPr>
        <sz val="12"/>
        <color rgb="FF000000"/>
        <rFont val="Aptos Narrow"/>
        <scheme val="minor"/>
      </rPr>
      <t xml:space="preserve"> that addressing the gap will improve your ability to respond to the selected hazard type?</t>
    </r>
  </si>
  <si>
    <r>
      <t xml:space="preserve">What is the </t>
    </r>
    <r>
      <rPr>
        <b/>
        <sz val="12"/>
        <color theme="1"/>
        <rFont val="Aptos Narrow"/>
        <scheme val="minor"/>
      </rPr>
      <t>level</t>
    </r>
    <r>
      <rPr>
        <sz val="12"/>
        <color theme="1"/>
        <rFont val="Aptos Narrow"/>
        <family val="2"/>
        <scheme val="minor"/>
      </rPr>
      <t xml:space="preserve"> of the</t>
    </r>
    <r>
      <rPr>
        <sz val="12"/>
        <color theme="1"/>
        <rFont val="Aptos Narrow"/>
        <scheme val="minor"/>
      </rPr>
      <t xml:space="preserve"> physical and mental safety</t>
    </r>
    <r>
      <rPr>
        <sz val="12"/>
        <color theme="1"/>
        <rFont val="Aptos Narrow"/>
        <family val="2"/>
        <scheme val="minor"/>
      </rPr>
      <t xml:space="preserve"> of operational personnel working on this capability?</t>
    </r>
  </si>
  <si>
    <r>
      <rPr>
        <sz val="12"/>
        <color rgb="FF000000"/>
        <rFont val="Aptos Narrow"/>
        <scheme val="minor"/>
      </rPr>
      <t xml:space="preserve">What is the </t>
    </r>
    <r>
      <rPr>
        <b/>
        <sz val="12"/>
        <color rgb="FF000000"/>
        <rFont val="Aptos Narrow"/>
      </rPr>
      <t>likelihood</t>
    </r>
    <r>
      <rPr>
        <sz val="12"/>
        <color rgb="FF000000"/>
        <rFont val="Aptos Narrow"/>
      </rPr>
      <t xml:space="preserve"> </t>
    </r>
    <r>
      <rPr>
        <sz val="12"/>
        <color rgb="FF000000"/>
        <rFont val="Aptos Narrow"/>
        <scheme val="minor"/>
      </rPr>
      <t>that</t>
    </r>
    <r>
      <rPr>
        <sz val="12"/>
        <color rgb="FF000000"/>
        <rFont val="Aptos Narrow"/>
      </rPr>
      <t xml:space="preserve"> </t>
    </r>
    <r>
      <rPr>
        <sz val="12"/>
        <color rgb="FF000000"/>
        <rFont val="Aptos Narrow"/>
        <scheme val="minor"/>
      </rPr>
      <t>addressing</t>
    </r>
    <r>
      <rPr>
        <sz val="12"/>
        <color rgb="FF000000"/>
        <rFont val="Aptos Narrow"/>
      </rPr>
      <t xml:space="preserve"> </t>
    </r>
    <r>
      <rPr>
        <sz val="12"/>
        <color rgb="FF000000"/>
        <rFont val="Aptos Narrow"/>
        <scheme val="minor"/>
      </rPr>
      <t>the</t>
    </r>
    <r>
      <rPr>
        <sz val="12"/>
        <color rgb="FF000000"/>
        <rFont val="Aptos Narrow"/>
      </rPr>
      <t xml:space="preserve"> </t>
    </r>
    <r>
      <rPr>
        <sz val="12"/>
        <color rgb="FF000000"/>
        <rFont val="Aptos Narrow"/>
        <scheme val="minor"/>
      </rPr>
      <t>gap will improve the physical and mental safety of personnel?</t>
    </r>
  </si>
  <si>
    <r>
      <t xml:space="preserve">How </t>
    </r>
    <r>
      <rPr>
        <b/>
        <sz val="12"/>
        <color theme="1"/>
        <rFont val="Aptos Narrow"/>
        <scheme val="minor"/>
      </rPr>
      <t>effective</t>
    </r>
    <r>
      <rPr>
        <sz val="12"/>
        <color theme="1"/>
        <rFont val="Aptos Narrow"/>
        <family val="2"/>
        <scheme val="minor"/>
      </rPr>
      <t xml:space="preserve"> is the current capability?</t>
    </r>
  </si>
  <si>
    <r>
      <t xml:space="preserve">What is the </t>
    </r>
    <r>
      <rPr>
        <b/>
        <sz val="12"/>
        <color theme="1"/>
        <rFont val="Aptos Narrow"/>
        <scheme val="minor"/>
      </rPr>
      <t>impact</t>
    </r>
    <r>
      <rPr>
        <sz val="12"/>
        <color theme="1"/>
        <rFont val="Aptos Narrow"/>
        <family val="2"/>
        <scheme val="minor"/>
      </rPr>
      <t xml:space="preserve"> of the capability gap on your ability to deliver your core mandate?</t>
    </r>
  </si>
  <si>
    <r>
      <t xml:space="preserve">How </t>
    </r>
    <r>
      <rPr>
        <b/>
        <sz val="12"/>
        <color theme="1"/>
        <rFont val="Aptos Narrow"/>
        <scheme val="minor"/>
      </rPr>
      <t>efficient</t>
    </r>
    <r>
      <rPr>
        <sz val="12"/>
        <color theme="1"/>
        <rFont val="Aptos Narrow"/>
        <family val="2"/>
        <scheme val="minor"/>
      </rPr>
      <t xml:space="preserve"> is the current capability?</t>
    </r>
  </si>
  <si>
    <t>If Other, please include details here.</t>
  </si>
  <si>
    <t>If F14: Other, please include details here.</t>
  </si>
  <si>
    <t>STEP 0. PREPARATION: SOLUTION ASSESSMENT</t>
  </si>
  <si>
    <t>NAMES(S)</t>
  </si>
  <si>
    <t>SOLUTION DESCRIPTION</t>
  </si>
  <si>
    <t>DR PHASE</t>
  </si>
  <si>
    <t>Natural</t>
  </si>
  <si>
    <t>STEP 1. SOLUTION SCREENING</t>
  </si>
  <si>
    <t>1. INNOVATION MATURITY</t>
  </si>
  <si>
    <t>2. COMPLIANCE READINESS</t>
  </si>
  <si>
    <t>(Cyber) Security</t>
  </si>
  <si>
    <t>Interoperability</t>
  </si>
  <si>
    <t>AI Act</t>
  </si>
  <si>
    <t>Community Engagement</t>
  </si>
  <si>
    <t>GDPR</t>
  </si>
  <si>
    <t>Fundamental Rights</t>
  </si>
  <si>
    <t>Sustainable Development Goals</t>
  </si>
  <si>
    <t>National level crisis management priorities</t>
  </si>
  <si>
    <t>Sector specific standards</t>
  </si>
  <si>
    <t>Sector specific laws &amp; regulations</t>
  </si>
  <si>
    <t>STEP 2. SOLUTION COMPATIBILITY &amp; IMPACT ASSESSMENT</t>
  </si>
  <si>
    <t>USER NEEDS</t>
  </si>
  <si>
    <t>OPERATIONAL NEEDS</t>
  </si>
  <si>
    <t>ORGANISATIONAL NEEDS</t>
  </si>
  <si>
    <t>EXPECTED IMPACT</t>
  </si>
  <si>
    <t>Is the solution easy to use?</t>
  </si>
  <si>
    <t>Is the solution likely to require extensive (re-)training?</t>
  </si>
  <si>
    <t>Is the solution likely to have a positive cost-benefit balance?</t>
  </si>
  <si>
    <t>Will the solution be applied in the context of human healthcare?</t>
  </si>
  <si>
    <t>Does the solution likely to perform adequately under duress? Including robustness and reliability.</t>
  </si>
  <si>
    <t>Is the solution likely to require excessive maintenance &amp; support?</t>
  </si>
  <si>
    <t>Does the solution seem feasible? Including, technologically, economically, legally, operationally, and scheduling.</t>
  </si>
  <si>
    <t>Does the solution involve the processing of personal data?</t>
  </si>
  <si>
    <t>Is the solution likely to be accepted by users?</t>
  </si>
  <si>
    <t>Is the solution likely to be compatible with your operating methods/SoP?</t>
  </si>
  <si>
    <t>Is the solution likely to be compatible with your organisational culture?</t>
  </si>
  <si>
    <t>Is the solution likely to have a negative impact on the rights &amp; freedoms of individuals and groups? E.g. privacy, dignity, autonomy, solidarity.</t>
  </si>
  <si>
    <t>Is the solution likely to support user understandability?</t>
  </si>
  <si>
    <t>Is the solution interoperable?</t>
  </si>
  <si>
    <t>Is the solution likely to be compatible with your organisational mandate?</t>
  </si>
  <si>
    <t>Is the solution likely to have a negative impact in terms of social justice and equality?</t>
  </si>
  <si>
    <t>Is the solution likely to support user explainability?</t>
  </si>
  <si>
    <t>Is the solution likely to be adaptable and transferable across your operating scenarios?</t>
  </si>
  <si>
    <t>Is the solution likely to be compatible with the priorities of CM governance?</t>
  </si>
  <si>
    <t>Is the solution likely to have a negative impact on the well-being of individuals or groups?</t>
  </si>
  <si>
    <t>Is the solution likely to improve user efficiencies?</t>
  </si>
  <si>
    <t>Is the solution likely to support responder health and safety?</t>
  </si>
  <si>
    <t>Would using the solution support your reputation amongst the public?</t>
  </si>
  <si>
    <t>Is the solution likely to increase the vulnerability of individuals or groups?</t>
  </si>
  <si>
    <t>Is the solution likely to improve user effectiveness?</t>
  </si>
  <si>
    <t>Is the solution likely to reach the intended target population?</t>
  </si>
  <si>
    <t>Would using the solution help to improve community relations?</t>
  </si>
  <si>
    <t>Is the solution likely to pose a potential safety risks?</t>
  </si>
  <si>
    <t>Is the solution likely to provide added knowledge?</t>
  </si>
  <si>
    <t>Is the solution likely to offer improved operational efficiencies?</t>
  </si>
  <si>
    <t>Is the solution likely to have a negative impact on the environment?</t>
  </si>
  <si>
    <t>Is the solution likely to consistently produce positive interventions and/or results?</t>
  </si>
  <si>
    <t>Is the solution likely to offer improved operational effectiveness?</t>
  </si>
  <si>
    <t>Is there SIGNIFICANT uncertainty regarding the legal, ethical, and societal impacts from the use of the solution?</t>
  </si>
  <si>
    <t>VISUALISATION OF ASSESSMENT</t>
  </si>
  <si>
    <t>CAPABILITY GAP ASSESSMENT</t>
  </si>
  <si>
    <t>COMPLIANCE READINESS</t>
  </si>
  <si>
    <t>COMPATIBILITY &amp; IMPACT</t>
  </si>
  <si>
    <t>Low</t>
  </si>
  <si>
    <t>Pass</t>
  </si>
  <si>
    <t>Yes</t>
  </si>
  <si>
    <t>Medium</t>
  </si>
  <si>
    <t>Partial</t>
  </si>
  <si>
    <t>No</t>
  </si>
  <si>
    <t>High</t>
  </si>
  <si>
    <t>Fail</t>
  </si>
  <si>
    <t>Somewhat</t>
  </si>
  <si>
    <t>Unsure</t>
  </si>
  <si>
    <t>Gap Severity</t>
  </si>
  <si>
    <t>POST ASSESSMENT REFLECTION: INNOVATION NEEDS &amp; WILLINGNESS TO ADOPT</t>
  </si>
  <si>
    <t>INNOVATION NEEDS</t>
  </si>
  <si>
    <t>WILLINGNESS TO ADOPT</t>
  </si>
  <si>
    <t>Have you identified a pressing need and are you willing to act on it?</t>
  </si>
  <si>
    <t>Do you think this solution is relevant to your operational and/or organisational mandate?</t>
  </si>
  <si>
    <t>Based on its current stage of development, can the solution easily satisfy this need?</t>
  </si>
  <si>
    <t>Do you think this solution is effective for your capability needs?</t>
  </si>
  <si>
    <t>With further developments, could the solution easily satisfy this need?</t>
  </si>
  <si>
    <t>Do you think this solution will have positive social and ethical impacts?</t>
  </si>
  <si>
    <t>Can you easily access relevant solution providers to communicate your needs?</t>
  </si>
  <si>
    <t>Do you think this solution has strong innovation potential?</t>
  </si>
  <si>
    <t>Do you need procurement support to successfully adopt this solution?</t>
  </si>
  <si>
    <t>Do you foresee others being interested in this solution?</t>
  </si>
  <si>
    <t>Are your needs well addressed through EU research programming efforts?</t>
  </si>
  <si>
    <t>Do you think this solution should be adopted for regular use in your organisation?</t>
  </si>
  <si>
    <t>Are your needs are well addressed through national level research programming efforts?</t>
  </si>
  <si>
    <t>Do you think this solution could be widely used in crisis management in 5-10 years?</t>
  </si>
  <si>
    <t>Are your needs well addressed through private research efforts?</t>
  </si>
  <si>
    <t>STEP 0. PREPARATION</t>
  </si>
  <si>
    <t>SOLUTION DETAILS</t>
  </si>
  <si>
    <t>SOLUTION CLASSIFICATION BY FUNCTIONALITY</t>
  </si>
  <si>
    <t>CAPABILITY SUPPORTED</t>
  </si>
  <si>
    <t>DR Phase</t>
  </si>
  <si>
    <t>Capability Group</t>
  </si>
  <si>
    <t xml:space="preserve">Task </t>
  </si>
  <si>
    <t>Mitigate</t>
  </si>
  <si>
    <t>Risk assessment</t>
  </si>
  <si>
    <t>If the capability provided is not phase specific, please include details of the capability supported here.</t>
  </si>
  <si>
    <t>STEP 1. SOLUTION READINESS ASSESSMENT</t>
  </si>
  <si>
    <t>TECHNOLOGY RL</t>
  </si>
  <si>
    <t>SECURITY RL</t>
  </si>
  <si>
    <t>MANUFACTURING RL</t>
  </si>
  <si>
    <t>INTEGRATION RL</t>
  </si>
  <si>
    <t>COMMERCIALISATION RL</t>
  </si>
  <si>
    <t>SOCIETAL RL</t>
  </si>
  <si>
    <t>LEGAL, PRIVACY &amp; ETHICAL RL</t>
  </si>
  <si>
    <t>Comments</t>
  </si>
  <si>
    <t>STEP2. POST ASSESSMENT REFLECTION: INNOVATION NEEDS &amp; WILLINGNESS TO SUPPLY</t>
  </si>
  <si>
    <t>WILLINGNESS TO SUPPLY</t>
  </si>
  <si>
    <t>Does the customer group have a pressing need and are they  willing to act on it?</t>
  </si>
  <si>
    <t>Do you think this solution is feasible?</t>
  </si>
  <si>
    <r>
      <t xml:space="preserve">Do you have a </t>
    </r>
    <r>
      <rPr>
        <b/>
        <sz val="12"/>
        <color theme="1"/>
        <rFont val="Aptos Narrow"/>
        <scheme val="minor"/>
      </rPr>
      <t>market ready offering</t>
    </r>
    <r>
      <rPr>
        <sz val="12"/>
        <color theme="1"/>
        <rFont val="Aptos Narrow"/>
        <family val="2"/>
        <scheme val="minor"/>
      </rPr>
      <t xml:space="preserve"> that can easily satisfy this need?</t>
    </r>
  </si>
  <si>
    <t>Have you identified potential opportunities and barriers related to solution development?</t>
  </si>
  <si>
    <r>
      <t xml:space="preserve">Do you have an </t>
    </r>
    <r>
      <rPr>
        <b/>
        <sz val="12"/>
        <color theme="1"/>
        <rFont val="Aptos Narrow"/>
        <scheme val="minor"/>
      </rPr>
      <t>in-development offering</t>
    </r>
    <r>
      <rPr>
        <sz val="12"/>
        <color theme="1"/>
        <rFont val="Aptos Narrow"/>
        <family val="2"/>
        <scheme val="minor"/>
      </rPr>
      <t xml:space="preserve"> that can easily satisfy this need?</t>
    </r>
  </si>
  <si>
    <t>Do you think you have sufficient flexibility to meet customer needs?</t>
  </si>
  <si>
    <t>Can you easily access/communicate with the customer base to promote your solution?</t>
  </si>
  <si>
    <t>Are you comfortable taking risks related to new product/solution development?</t>
  </si>
  <si>
    <t>Do you need commercialisation support to successfully bring the solution to market?</t>
  </si>
  <si>
    <t>Have you analysed the market - is your solution novel and competitive?</t>
  </si>
  <si>
    <t>Do you expect this solution to progress to market through EU research programming efforts?</t>
  </si>
  <si>
    <t>Are you confidant in your ability to advertise the product?</t>
  </si>
  <si>
    <t>Do you expect this solution to progress to market through national level research programming efforts?</t>
  </si>
  <si>
    <t>Do you expect this solution to progress to market through private research efforts?</t>
  </si>
  <si>
    <t>STEP 1. INNOVATION NEEDS DIALOGUE</t>
  </si>
  <si>
    <t>QUESTIONS</t>
  </si>
  <si>
    <t>DIALOGUE</t>
  </si>
  <si>
    <t>Is the need well understood by solution providers and solution users?</t>
  </si>
  <si>
    <t>Your answer here</t>
  </si>
  <si>
    <t>Is the ability of the solution to satisfy the need agreed by solution providers and solution users?</t>
  </si>
  <si>
    <t>Is communication between solution providers and solution users about the need and the solution efficient and effective?</t>
  </si>
  <si>
    <t>Is there a need for standardisation?</t>
  </si>
  <si>
    <t>STEP 2. TACTICS FOR SCALING UP</t>
  </si>
  <si>
    <t>TACTICS</t>
  </si>
  <si>
    <t>DEMAND SIDE</t>
  </si>
  <si>
    <t>SUPPLY SIDE</t>
  </si>
  <si>
    <t>Determine your long term role:</t>
  </si>
  <si>
    <t>Are you willing to lead innovation uptake in solutions that meet your needs?</t>
  </si>
  <si>
    <t>Are you willing to base innovation development on user identified needs?</t>
  </si>
  <si>
    <t>Build and use your network:</t>
  </si>
  <si>
    <t>Are you equipped to share your knowledge and expertise to support innovation adoption?</t>
  </si>
  <si>
    <t>Are you building and using your network to market your innovation?</t>
  </si>
  <si>
    <t>Are you building and using your network to identify and influence decision makers?</t>
  </si>
  <si>
    <t>Are you building and using your network to understand the complexities of the operating environment?</t>
  </si>
  <si>
    <t>Are you building and using your network to increase collective confidence in the solution?</t>
  </si>
  <si>
    <t>Are you building and using your network to  tailor your innovation to your customer needs?</t>
  </si>
  <si>
    <t>Build on what already exists:</t>
  </si>
  <si>
    <t>Are you currently involved in EU innovation processes? Are these processes sufficient?</t>
  </si>
  <si>
    <t>Is your solution competitive?</t>
  </si>
  <si>
    <t>Are you currently involved in national  innovation processes? Are these processes sufficient?</t>
  </si>
  <si>
    <t>Have you engaged with different customer platforms and clusters to promote/disseminate your solution?</t>
  </si>
  <si>
    <t>Make it easy to integrate:</t>
  </si>
  <si>
    <t>Are integration challenges identified and well understood when it comes to adopting a solution?</t>
  </si>
  <si>
    <t>Have you analysed and addressed potential integration challenges?</t>
  </si>
  <si>
    <t>Have these integration challenges been communicated to the solution provider?</t>
  </si>
  <si>
    <t>Will implementation support  be required? Will you provide this?</t>
  </si>
  <si>
    <t>Do you have a clear understanding of current workflow/operating procedures?</t>
  </si>
  <si>
    <t>Is the solution adaptable to different user set-ups? E.g. language, technical connections, legacy systems.</t>
  </si>
  <si>
    <t>Work with the entire adopter:</t>
  </si>
  <si>
    <t>Is the solution adoption process well understood? Has this been communicated to the solution provider?</t>
  </si>
  <si>
    <t>Do you know who to contact within your customer group to discuss solution adoption?</t>
  </si>
  <si>
    <t>Are approval mechanism for adoption of innovative solutions well identified and understood within the organisation?</t>
  </si>
  <si>
    <t>Have you Identified organisations willing to partner in solution testing and early adoption?</t>
  </si>
  <si>
    <t>Are the ultimate users of the solution engaged in the adoption approval process (i.e. is adoption a top-down; bottom-up; or hybrid process?)</t>
  </si>
  <si>
    <t>Move beyond research grants:</t>
  </si>
  <si>
    <t>Have you discussed post-research/pilot implementation actions?</t>
  </si>
  <si>
    <t>Are you engaging with scaling-up funding mechanisms?</t>
  </si>
  <si>
    <t>Do you have the right structures in place to support/pursue implementation?</t>
  </si>
  <si>
    <t>Are you striving to create value beyond revenue?</t>
  </si>
  <si>
    <t>Exploring</t>
  </si>
  <si>
    <t>Basic principles observed 1</t>
  </si>
  <si>
    <t>Identification of the generic societal need, social good, and associated aspects 1</t>
  </si>
  <si>
    <t>Basic manufacturing implications identified 1</t>
  </si>
  <si>
    <t>A high-level concept for integration has been identified 1</t>
  </si>
  <si>
    <t>Research and basis hypothesis 1</t>
  </si>
  <si>
    <t>Control over legal, ethical, and privacy issues: the system has implemented control mechanisms for accountability and has passed standard benchmarks and obtained certification, if applicable 1</t>
  </si>
  <si>
    <t>Security consideration 1</t>
  </si>
  <si>
    <t>F01: Personal &amp; other equipment for prevention, response and recovery.</t>
  </si>
  <si>
    <t>Phase</t>
  </si>
  <si>
    <t>Prepare</t>
  </si>
  <si>
    <t>Respond</t>
  </si>
  <si>
    <t>Recover</t>
  </si>
  <si>
    <t>Exposure reduction</t>
  </si>
  <si>
    <t>Mitigation support</t>
  </si>
  <si>
    <t>Capacity development</t>
  </si>
  <si>
    <t>Monitoring</t>
  </si>
  <si>
    <t>Preparedness support</t>
  </si>
  <si>
    <t>Suppress incident</t>
  </si>
  <si>
    <t>Rescue operations</t>
  </si>
  <si>
    <t>Security and law enforcement</t>
  </si>
  <si>
    <t>Emergency healthcare</t>
  </si>
  <si>
    <t>Communicate to society</t>
  </si>
  <si>
    <t>Safeguard population and animals</t>
  </si>
  <si>
    <t>Disaster clearance</t>
  </si>
  <si>
    <t>Basic needs supply</t>
  </si>
  <si>
    <t>Response Support</t>
  </si>
  <si>
    <t>Humanitarian recovery</t>
  </si>
  <si>
    <t>Environmental recovery</t>
  </si>
  <si>
    <t>Economic recovery</t>
  </si>
  <si>
    <t>Reestablish infrastructure</t>
  </si>
  <si>
    <t>Recovery support</t>
  </si>
  <si>
    <t>Business ready</t>
  </si>
  <si>
    <t>Technology concept formulated 2</t>
  </si>
  <si>
    <t>Formulation of proposed solution concept and potential impacts 2</t>
  </si>
  <si>
    <t>Manufacturing concepts identified 2</t>
  </si>
  <si>
    <t>Some specificity level of requirements for the component interaction 2</t>
  </si>
  <si>
    <t>Market assessment 2</t>
  </si>
  <si>
    <t>Ethical tensions addressed via ethics-by-design: the system's legal, ethical, and privacy considerations have been designed to be compatible with each other. Ethics tensions have been addressed. This means improving one aspect does not negatively ipact another aspect 2</t>
  </si>
  <si>
    <t>Security concept development 2</t>
  </si>
  <si>
    <t>F02: Data, information &amp; intelligence gathering management and exploitation.</t>
  </si>
  <si>
    <t>Risk identification</t>
  </si>
  <si>
    <t>Property protection</t>
  </si>
  <si>
    <t>Trend analysis</t>
  </si>
  <si>
    <t>Response and recovery development</t>
  </si>
  <si>
    <t>Detection</t>
  </si>
  <si>
    <t>Personnel management</t>
  </si>
  <si>
    <t>Search and rescue</t>
  </si>
  <si>
    <t>Securing locations and persons</t>
  </si>
  <si>
    <t>Urgent care</t>
  </si>
  <si>
    <t>Warning</t>
  </si>
  <si>
    <t>Evacuate</t>
  </si>
  <si>
    <t>Debris Clearance</t>
  </si>
  <si>
    <t>Drinking water supply</t>
  </si>
  <si>
    <t>Command, control, and coordination</t>
  </si>
  <si>
    <t>Provide public health and safety</t>
  </si>
  <si>
    <t>Waste management</t>
  </si>
  <si>
    <t>Business recovery</t>
  </si>
  <si>
    <t>Re-establish transport</t>
  </si>
  <si>
    <t>Establish recovery organisation</t>
  </si>
  <si>
    <t>Solution Ready</t>
  </si>
  <si>
    <t>Experimental proof of concept 3</t>
  </si>
  <si>
    <t>A limited group of the society knows the solution or similar initiatives 3</t>
  </si>
  <si>
    <t>Manufacturing proof of concept developed 3</t>
  </si>
  <si>
    <t>The detailed integration design has been defined to include all interface details 3</t>
  </si>
  <si>
    <t>Technology application and market validation 3</t>
  </si>
  <si>
    <t>Characterised legal, ethical, and privacy interactions: the interactions between different ethical and privacy considerations have been characterised 3</t>
  </si>
  <si>
    <t>Security by design 3</t>
  </si>
  <si>
    <t>F03: Monitoring and surveillance of environments and activities.</t>
  </si>
  <si>
    <t>Risk analysis</t>
  </si>
  <si>
    <t>Natural resource protection</t>
  </si>
  <si>
    <t>Monitoring and review</t>
  </si>
  <si>
    <t>Training</t>
  </si>
  <si>
    <t>Alert</t>
  </si>
  <si>
    <t>Asset management</t>
  </si>
  <si>
    <t>On-site casualty treatment</t>
  </si>
  <si>
    <t>Identification of persons</t>
  </si>
  <si>
    <t>Quarantine</t>
  </si>
  <si>
    <t>Crisis communication</t>
  </si>
  <si>
    <t>Shelter</t>
  </si>
  <si>
    <t>Decontamination of objects</t>
  </si>
  <si>
    <t>Food supply</t>
  </si>
  <si>
    <t>Situation assessment</t>
  </si>
  <si>
    <t>Provide food and shelter</t>
  </si>
  <si>
    <t>Restoration habitats</t>
  </si>
  <si>
    <t>Financial recovery</t>
  </si>
  <si>
    <t>Re-establish utilities</t>
  </si>
  <si>
    <t>Recovery programming</t>
  </si>
  <si>
    <t>Market Ready</t>
  </si>
  <si>
    <t>Technology validated in lab 4</t>
  </si>
  <si>
    <t>A limited group of the society tests the solution or similar initiatives 4</t>
  </si>
  <si>
    <t>Capability to produce the technology in a laboratory environment 4</t>
  </si>
  <si>
    <t>Validation of integrating component functions in a laboratory environment 4</t>
  </si>
  <si>
    <t>Value proposition 4</t>
  </si>
  <si>
    <t>identified legal, ethical, and privacy issues: ethical and privacy considerations raised by the system have been identified and anticipated 4</t>
  </si>
  <si>
    <t>Security measures and features preparation 4</t>
  </si>
  <si>
    <t>F04: Security of information systems, networks and hardware.</t>
  </si>
  <si>
    <t>Risk evaluation</t>
  </si>
  <si>
    <t>Awareness raising</t>
  </si>
  <si>
    <t>Risk Communciation</t>
  </si>
  <si>
    <t>Cooperation establishment</t>
  </si>
  <si>
    <t>Transport of victims</t>
  </si>
  <si>
    <t>Forensics</t>
  </si>
  <si>
    <t>Mass public health</t>
  </si>
  <si>
    <t>Reunification</t>
  </si>
  <si>
    <t>Draining</t>
  </si>
  <si>
    <t>Energy supply</t>
  </si>
  <si>
    <t>Information management</t>
  </si>
  <si>
    <t>Technology validated in relevant environment 5</t>
  </si>
  <si>
    <t>Society knows the solution or similar initiatives but is not aware of their benefits 5</t>
  </si>
  <si>
    <t>Capability to produce the prototype components in a production relevant environment 5</t>
  </si>
  <si>
    <t>Validation of integrating components in a relevant environment 5</t>
  </si>
  <si>
    <t>Produce development and market alignment 5</t>
  </si>
  <si>
    <t>Simple security validation 5</t>
  </si>
  <si>
    <t>F05: Physical access control (of locations, goods, etc.).</t>
  </si>
  <si>
    <t>Maintain public order</t>
  </si>
  <si>
    <t>Psychological care</t>
  </si>
  <si>
    <t>Animal destruction</t>
  </si>
  <si>
    <t>Sanitation</t>
  </si>
  <si>
    <t>Monitoring/data collection</t>
  </si>
  <si>
    <t>Technology demonstrated in relevant environment 6</t>
  </si>
  <si>
    <t>Society knows the solution and awareness of their benefits increases 6</t>
  </si>
  <si>
    <t>Capability to produce a prototype system or subsystem in a production relevant environment 6</t>
  </si>
  <si>
    <t>Validation of integrating components in a relevant end-to-end environment 6</t>
  </si>
  <si>
    <t>Product/solution optimisation and IP protection 6</t>
  </si>
  <si>
    <t>Sequential security demonstration 6</t>
  </si>
  <si>
    <t xml:space="preserve">F06: Identification and authentication of persons, assets and goods (other than for tracking and tracing). </t>
  </si>
  <si>
    <t>Traffic management</t>
  </si>
  <si>
    <t>Provision of ICT/telecom</t>
  </si>
  <si>
    <t>On-site operations support</t>
  </si>
  <si>
    <t>System prototype demonstration in operational environment 7</t>
  </si>
  <si>
    <t>Society is completely aware of the solution's benefits 7</t>
  </si>
  <si>
    <t>Capability to produce systems, subsystems or components in a production representative environment 7</t>
  </si>
  <si>
    <t>Prototype integration demonstration in an operational high-fidelity environment 7</t>
  </si>
  <si>
    <t>Technical and commercial validation 7</t>
  </si>
  <si>
    <t>Complex security demonstrations 7</t>
  </si>
  <si>
    <t>F07: Detection of goods, substances, assets and people and incidents.</t>
  </si>
  <si>
    <t>Logistics</t>
  </si>
  <si>
    <t>System complete and qualified 8</t>
  </si>
  <si>
    <t>Society is ready to adopt the solution and have used similar solutions on the market 8</t>
  </si>
  <si>
    <t>Pilot line capability demonstrated. Ready to begin low rate production 8</t>
  </si>
  <si>
    <t>Test and demonstration in an operational environment 8</t>
  </si>
  <si>
    <t>Commercialisation strategy and market introduction 8</t>
  </si>
  <si>
    <t>Final pre-release security validation and preparation 8</t>
  </si>
  <si>
    <t>F08: Positioning and localisation, tracking and tracing.</t>
  </si>
  <si>
    <t>Not Applicable</t>
  </si>
  <si>
    <t>Actual system proven in operational environment 9</t>
  </si>
  <si>
    <t>Society is using the solution and it is supported by stakeholders and the public 9</t>
  </si>
  <si>
    <t>Low rate production demonstrated. Capability in place to begin full rate production 9</t>
  </si>
  <si>
    <t>Proven system integration through successful mission operations capabilities 9</t>
  </si>
  <si>
    <t>Full launch and license revenue 9</t>
  </si>
  <si>
    <t>Initial operational security 9</t>
  </si>
  <si>
    <t>F09: Mobility and deployability.</t>
  </si>
  <si>
    <t>Well-establised/reliable security 10</t>
  </si>
  <si>
    <t>F10: Investigation and forensics.</t>
  </si>
  <si>
    <t>F11: Decontamination and neutralisation.</t>
  </si>
  <si>
    <t>F12: Secure and public communication, data/information exchange.</t>
  </si>
  <si>
    <t>F13: Training and exercises.</t>
  </si>
  <si>
    <t>F14: Other.</t>
  </si>
  <si>
    <t>Mitigate - Risk assessment</t>
  </si>
  <si>
    <t>Mitigate - Exposure reduction</t>
  </si>
  <si>
    <t>Mitigate - Mitigation support</t>
  </si>
  <si>
    <t>Prepare - Capacity development</t>
  </si>
  <si>
    <t>Prepare - Monitoring</t>
  </si>
  <si>
    <t>Prepare - Preparedness support</t>
  </si>
  <si>
    <t>Respond - Suppress incident</t>
  </si>
  <si>
    <t>Technological</t>
  </si>
  <si>
    <t>Respond - Rescue operations</t>
  </si>
  <si>
    <t>Attack</t>
  </si>
  <si>
    <t>Respond - Security and law enforcement</t>
  </si>
  <si>
    <t>All hazard</t>
  </si>
  <si>
    <t>Respond - Emergency healthcare</t>
  </si>
  <si>
    <t>Respond - Communicate to society</t>
  </si>
  <si>
    <t>Technical - the solution is not readily available on the market.</t>
  </si>
  <si>
    <t>Respond - Safeguard population and animals</t>
  </si>
  <si>
    <t>Human - the solution is available on the market but requires significant investment in personnel.</t>
  </si>
  <si>
    <t>Respond - Disaster clearance</t>
  </si>
  <si>
    <t>Organisational - the solution is available on the market but does not fit current SoP AND/OR implementation is overly complex.</t>
  </si>
  <si>
    <t>Respond - Basic needs supply</t>
  </si>
  <si>
    <t>Regulatory - the solution is available on the market, but the current regulatory environment does not support adoption and use.</t>
  </si>
  <si>
    <t>Respond - Response Support</t>
  </si>
  <si>
    <t>Recover - Humanitarian recovery</t>
  </si>
  <si>
    <t>Recover - Environmental recovery</t>
  </si>
  <si>
    <t>Recover - Economic recovery</t>
  </si>
  <si>
    <t>Recover - Reestablish infrastructure</t>
  </si>
  <si>
    <t>Recover - Recovery support</t>
  </si>
  <si>
    <t>Organisational changes</t>
  </si>
  <si>
    <t>Procedures/processes</t>
  </si>
  <si>
    <t>Technological improvements</t>
  </si>
  <si>
    <t>Improved interoperability</t>
  </si>
  <si>
    <t>Further professionalisation</t>
  </si>
  <si>
    <t>Policy improvements</t>
  </si>
  <si>
    <t>Legal or ethical impacts</t>
  </si>
  <si>
    <t>Implementation/integration</t>
  </si>
  <si>
    <t>Other</t>
  </si>
  <si>
    <t>Impact of Capability</t>
  </si>
  <si>
    <t>Performance of Capability</t>
  </si>
  <si>
    <t xml:space="preserve"> Severity of the Capability Gap</t>
  </si>
  <si>
    <r>
      <rPr>
        <b/>
        <sz val="24"/>
        <color theme="1"/>
        <rFont val="Aptos Narrow (Body)"/>
      </rPr>
      <t>Demand - to be completed by the SOLUTION USER(S)</t>
    </r>
    <r>
      <rPr>
        <sz val="24"/>
        <color theme="1"/>
        <rFont val="Aptos Narrow (Body)"/>
      </rPr>
      <t xml:space="preserve">
- The sheet incorporates two assessment. The assessment steps can be combined according to the level of analysis you wish to carry out.
Capability Gap Assessment
- Step 0 captures baseline information for the assessment process.
- Step 1 assesses both current capability and capability gap; challenges to addressing the capability gap; and functionality to address the capability gap.
Solution Assessment
- Step 0 captures baseline information for the assessment process.
- Step 1 assesses the solution by innovation stage and solution compliance with priority policy areas and sector relevant laws, standards and best practices.
- Step 2 assesses the solution by compatibility with user needs; operational needs; and organisational needs, and by expected impact.
- Assessment results are visualised, and post-assessment questions asks the user to reflect on innovation needs and willingness to adopt the solution.</t>
    </r>
  </si>
  <si>
    <t>The toolset guides the process of assessing capabilities and solutions.
However, the assessment results and the final decision remain the responsibility of the assessment owner(s) and contributors.</t>
  </si>
  <si>
    <r>
      <rPr>
        <b/>
        <u/>
        <sz val="14"/>
        <color theme="0"/>
        <rFont val="Aptos Narrow (Body)"/>
      </rPr>
      <t>GUIDANCE:</t>
    </r>
    <r>
      <rPr>
        <b/>
        <sz val="14"/>
        <color theme="0"/>
        <rFont val="Aptos Narrow"/>
        <scheme val="minor"/>
      </rPr>
      <t xml:space="preserve">
</t>
    </r>
    <r>
      <rPr>
        <b/>
        <sz val="12"/>
        <color theme="0"/>
        <rFont val="Aptos Narrow (Body)"/>
      </rPr>
      <t>- This tool should be completed by the</t>
    </r>
    <r>
      <rPr>
        <b/>
        <sz val="14"/>
        <color theme="0"/>
        <rFont val="Aptos Narrow"/>
        <scheme val="minor"/>
      </rPr>
      <t xml:space="preserve"> solution user(s). </t>
    </r>
    <r>
      <rPr>
        <b/>
        <sz val="12"/>
        <color theme="0"/>
        <rFont val="Aptos Narrow (Body)"/>
      </rPr>
      <t xml:space="preserve">The tool incorporates two assessments, capability gap assessment and solution assessment. The assessment steps can be combined according to the level of analysis you wish to carry out. Guidance on the </t>
    </r>
    <r>
      <rPr>
        <b/>
        <u/>
        <sz val="12"/>
        <color theme="0"/>
        <rFont val="Aptos Narrow (Body)"/>
      </rPr>
      <t xml:space="preserve">Capability Gap Assessment </t>
    </r>
    <r>
      <rPr>
        <b/>
        <sz val="12"/>
        <color theme="0"/>
        <rFont val="Aptos Narrow (Body)"/>
      </rPr>
      <t>is provided first.
- Under Step 0 (Preparation) use the free text box to identify the solution owner(s) and contributors(s). Next, summarise the assessment objectives, followed by a description of the capability and capability gap you wish to assess.</t>
    </r>
    <r>
      <rPr>
        <b/>
        <sz val="12"/>
        <color theme="0"/>
        <rFont val="Aptos Narrow"/>
        <scheme val="minor"/>
      </rPr>
      <t xml:space="preserve"> T</t>
    </r>
    <r>
      <rPr>
        <b/>
        <sz val="12"/>
        <color theme="0"/>
        <rFont val="Aptos Narrow (Body)"/>
      </rPr>
      <t>hen select from the dropdown lists the hazard type, disaster resilience phase and capability group most associated with the capability you wish to assess.
- Under Step 1 (Capability Gap Assessment) use the dropdown lists (SELECT ONE) to respond to the assessment questions for both your current capability and capability gap. Additional details on your responses should be included in the comments sections. Next use the dropdown list provided to identify the source of challenge(s) to addressing the gap. Finally, using the dropdown list provided select the functionality that would best help you address the gap. This can help guide your search for a solution(s) if you have not already identified one.
- Assessment results are visualised and post-assessment questions on innovation needs and willingness to adopt are included.</t>
    </r>
  </si>
  <si>
    <r>
      <rPr>
        <b/>
        <u/>
        <sz val="14"/>
        <color theme="0"/>
        <rFont val="Aptos Narrow (Body)"/>
      </rPr>
      <t>GUIDANCE:</t>
    </r>
    <r>
      <rPr>
        <b/>
        <sz val="14"/>
        <color theme="0"/>
        <rFont val="Aptos Narrow"/>
        <scheme val="minor"/>
      </rPr>
      <t xml:space="preserve">
</t>
    </r>
    <r>
      <rPr>
        <b/>
        <sz val="12"/>
        <color theme="0"/>
        <rFont val="Aptos Narrow (Body)"/>
      </rPr>
      <t xml:space="preserve">- This tool should be completed by the </t>
    </r>
    <r>
      <rPr>
        <b/>
        <sz val="14"/>
        <color theme="0"/>
        <rFont val="Aptos Narrow (Body)"/>
      </rPr>
      <t>solution user(s)</t>
    </r>
    <r>
      <rPr>
        <b/>
        <sz val="12"/>
        <color theme="0"/>
        <rFont val="Aptos Narrow (Body)"/>
      </rPr>
      <t>. The tool incorporates two assessments, capability gap assessment and solution assessment. The assessment steps can be combined according to the level of analysis you wish to carry</t>
    </r>
    <r>
      <rPr>
        <b/>
        <sz val="12"/>
        <color theme="0"/>
        <rFont val="Aptos Narrow"/>
        <scheme val="minor"/>
      </rPr>
      <t xml:space="preserve"> out. Guidance on </t>
    </r>
    <r>
      <rPr>
        <b/>
        <u/>
        <sz val="12"/>
        <color theme="0"/>
        <rFont val="Aptos Narrow (Body)"/>
      </rPr>
      <t>Solution Assessment</t>
    </r>
    <r>
      <rPr>
        <b/>
        <sz val="12"/>
        <color theme="0"/>
        <rFont val="Aptos Narrow"/>
        <scheme val="minor"/>
      </rPr>
      <t xml:space="preserve"> is provided below.
</t>
    </r>
    <r>
      <rPr>
        <b/>
        <sz val="12"/>
        <color theme="0"/>
        <rFont val="Aptos Narrow (Body)"/>
      </rPr>
      <t>- Under Step 0 (Preparation)  use the free text box to identify the solution owner(s) and contributors(s). Next, summarise the assessment objectives, followed by a description of  the solution (what it does and how it does it) you wish to assess. Then select from the dropdown lists the hazard type, disastr resilience phase and capability group most associated with the solution.
- Under Step 1 (Solution Screening) use the dropdown lists provided to screen the solution by innovation maturity, and compliance with policy priorities and sector</t>
    </r>
    <r>
      <rPr>
        <b/>
        <sz val="12"/>
        <color theme="0"/>
        <rFont val="Aptos Narrow"/>
        <scheme val="minor"/>
      </rPr>
      <t xml:space="preserve"> relevant laws, standards and best practices. Supporting actions are recommended based on your selection.
- Under Step 2 (Solution Compatibility &amp; Impact Assessment) use the dropdown lists provided to assess the compatibility of the solution by user needs; operational needs; and organisational needs, and expected impact of the solution.</t>
    </r>
  </si>
  <si>
    <r>
      <rPr>
        <b/>
        <u/>
        <sz val="14"/>
        <color theme="0"/>
        <rFont val="Aptos Narrow (Body)"/>
      </rPr>
      <t>GUIDANCE:</t>
    </r>
    <r>
      <rPr>
        <b/>
        <sz val="12"/>
        <color theme="0"/>
        <rFont val="Aptos Narrow"/>
        <scheme val="minor"/>
      </rPr>
      <t xml:space="preserve">
- This tool should be completed by the </t>
    </r>
    <r>
      <rPr>
        <b/>
        <sz val="14"/>
        <color theme="0"/>
        <rFont val="Aptos Narrow (Body)"/>
      </rPr>
      <t>solution provider(s)</t>
    </r>
    <r>
      <rPr>
        <b/>
        <sz val="12"/>
        <color theme="0"/>
        <rFont val="Aptos Narrow"/>
        <scheme val="minor"/>
      </rPr>
      <t>. The information provided here will help the solution user to better understand how your solution works and the stage of development it is at. 
- Under Step 0 (Preparation) use the free text box to describe  the solution (what it does and how it does it). Then select from the dropdown list the functionality that best describes the solution. Next,  select from the dropdown lists the capability the solution supports.
- Under Step 1 (Solution Readiness Assessment) please rank the solution against the maturity scales presented in the dropdown lists. Please select the stage that best describes the solution. Please assess the  solution against as many of the scales possible. Supporting comments can be provided in the free text cell as indicataed for each readiness scale.
- Under Step 2 (Post Assessment Reflections) please answer the questions in relation to the solution.</t>
    </r>
  </si>
  <si>
    <r>
      <rPr>
        <b/>
        <u/>
        <sz val="14"/>
        <color theme="0"/>
        <rFont val="Aptos Narrow (Body)"/>
      </rPr>
      <t>GUIDANCE:</t>
    </r>
    <r>
      <rPr>
        <b/>
        <sz val="12"/>
        <color theme="0"/>
        <rFont val="Aptos Narrow"/>
        <scheme val="minor"/>
      </rPr>
      <t xml:space="preserve">
- This tool should be completed by the solution provider and solution user </t>
    </r>
    <r>
      <rPr>
        <b/>
        <sz val="14"/>
        <color theme="0"/>
        <rFont val="Aptos Narrow (Body)"/>
      </rPr>
      <t>collaboratively</t>
    </r>
    <r>
      <rPr>
        <b/>
        <sz val="12"/>
        <color theme="0"/>
        <rFont val="Aptos Narrow"/>
        <scheme val="minor"/>
      </rPr>
      <t>. The aim of this tool is to support dialogue and discussion between Demand and Supply side actor to support demand-led innovation.
- Under Step 1 (Innovation Needs Dialogue) the questions focus on clarifying the innovation need from Demand and Supply side perspectives.
- Under Step 2 (Tactics for Scaling Up) a series of potential tactics for supporting solution scaling are presented with suggested actions for both Demand and Supply Side actors. The responses can be used to guide discussion on  future opportunities to collaborate and bring a solution to market.</t>
    </r>
  </si>
  <si>
    <t xml:space="preserve">Peformance of Capability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</si>
</sst>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2"/>
      <color theme="1"/>
      <name val="Aptos Narrow"/>
      <family val="2"/>
      <scheme val="minor"/>
    </font>
    <font>
      <b/>
      <sz val="18"/>
      <color theme="1"/>
      <name val="Aptos Narrow"/>
      <family val="2"/>
      <scheme val="minor"/>
    </font>
    <font>
      <b/>
      <sz val="12"/>
      <color theme="0"/>
      <name val="Aptos Narrow"/>
      <scheme val="minor"/>
    </font>
    <font>
      <b/>
      <sz val="14"/>
      <color theme="0"/>
      <name val="Aptos Narrow"/>
      <scheme val="minor"/>
    </font>
    <font>
      <b/>
      <sz val="12"/>
      <color theme="1"/>
      <name val="Aptos Narrow"/>
      <scheme val="minor"/>
    </font>
    <font>
      <b/>
      <sz val="14"/>
      <color theme="0"/>
      <name val="Aptos Narrow (Body)"/>
    </font>
    <font>
      <sz val="14"/>
      <color theme="1"/>
      <name val="Aptos Narrow"/>
      <family val="2"/>
      <scheme val="minor"/>
    </font>
    <font>
      <sz val="12"/>
      <color theme="1"/>
      <name val="Aptos Narrow"/>
      <scheme val="minor"/>
    </font>
    <font>
      <b/>
      <sz val="22"/>
      <color theme="0"/>
      <name val="Calibri"/>
      <family val="2"/>
    </font>
    <font>
      <b/>
      <sz val="36"/>
      <color theme="0"/>
      <name val="Calibri"/>
      <family val="2"/>
    </font>
    <font>
      <b/>
      <sz val="24"/>
      <color theme="1"/>
      <name val="Aptos Narrow (Body)"/>
    </font>
    <font>
      <sz val="24"/>
      <color theme="1"/>
      <name val="Aptos Narrow (Body)"/>
    </font>
    <font>
      <sz val="10"/>
      <color rgb="FF000000"/>
      <name val="Tahoma"/>
      <family val="2"/>
    </font>
    <font>
      <b/>
      <sz val="10"/>
      <color rgb="FF000000"/>
      <name val="Tahoma"/>
      <family val="2"/>
    </font>
    <font>
      <sz val="14"/>
      <color theme="1"/>
      <name val="Aptos Narrow (Body)"/>
    </font>
    <font>
      <sz val="14"/>
      <color theme="0"/>
      <name val="Aptos Narrow"/>
      <family val="2"/>
      <scheme val="minor"/>
    </font>
    <font>
      <sz val="10"/>
      <color rgb="FF000000"/>
      <name val="Aptos Narrow"/>
    </font>
    <font>
      <b/>
      <sz val="12"/>
      <color theme="1"/>
      <name val="Aptos Narrow"/>
      <family val="2"/>
      <scheme val="minor"/>
    </font>
    <font>
      <sz val="10"/>
      <color rgb="FF000000"/>
      <name val="Tahoma"/>
      <family val="34"/>
    </font>
    <font>
      <b/>
      <sz val="12"/>
      <color theme="0"/>
      <name val="Aptos Narrow (Body)"/>
    </font>
    <font>
      <b/>
      <u/>
      <sz val="14"/>
      <color theme="0"/>
      <name val="Aptos Narrow (Body)"/>
    </font>
    <font>
      <b/>
      <sz val="24"/>
      <color theme="1"/>
      <name val="Aptos Narrow"/>
      <scheme val="minor"/>
    </font>
    <font>
      <b/>
      <u/>
      <sz val="12"/>
      <color theme="0"/>
      <name val="Aptos Narrow (Body)"/>
    </font>
    <font>
      <sz val="10"/>
      <color rgb="FF000000"/>
      <name val="Aptos Narrow"/>
      <scheme val="minor"/>
    </font>
    <font>
      <sz val="9"/>
      <color rgb="FF000000"/>
      <name val="Tahoma"/>
      <family val="2"/>
    </font>
    <font>
      <sz val="12"/>
      <color rgb="FF000000"/>
      <name val="Aptos Narrow"/>
      <scheme val="minor"/>
    </font>
    <font>
      <b/>
      <sz val="12"/>
      <color rgb="FF000000"/>
      <name val="Aptos Narrow"/>
      <scheme val="minor"/>
    </font>
    <font>
      <sz val="12"/>
      <color rgb="FF000000"/>
      <name val="Aptos Narrow"/>
    </font>
    <font>
      <b/>
      <sz val="12"/>
      <color rgb="FF000000"/>
      <name val="Aptos Narrow"/>
    </font>
    <font>
      <sz val="12"/>
      <color rgb="FF000000"/>
      <name val="Aptos Narrow"/>
      <family val="2"/>
    </font>
  </fonts>
  <fills count="6">
    <fill>
      <patternFill patternType="none"/>
    </fill>
    <fill>
      <patternFill patternType="gray125"/>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rgb="FF002060"/>
        <bgColor indexed="64"/>
      </patternFill>
    </fill>
  </fills>
  <borders count="1">
    <border>
      <left/>
      <right/>
      <top/>
      <bottom/>
      <diagonal/>
    </border>
  </borders>
  <cellStyleXfs count="1">
    <xf numFmtId="0" fontId="0" fillId="0" borderId="0"/>
  </cellStyleXfs>
  <cellXfs count="84">
    <xf numFmtId="0" fontId="0" fillId="0" borderId="0" xfId="0"/>
    <xf numFmtId="0" fontId="0" fillId="0" borderId="0" xfId="0" applyAlignment="1">
      <alignment horizontal="left"/>
    </xf>
    <xf numFmtId="0" fontId="0" fillId="0" borderId="0" xfId="0" applyAlignment="1">
      <alignment wrapText="1"/>
    </xf>
    <xf numFmtId="0" fontId="7" fillId="0" borderId="0" xfId="0" applyFont="1"/>
    <xf numFmtId="0" fontId="7" fillId="0" borderId="0" xfId="0" applyFont="1" applyAlignment="1">
      <alignment horizontal="center"/>
    </xf>
    <xf numFmtId="0" fontId="4" fillId="0" borderId="0" xfId="0" applyFont="1" applyAlignment="1">
      <alignment wrapText="1"/>
    </xf>
    <xf numFmtId="0" fontId="2" fillId="0" borderId="0" xfId="0" applyFont="1" applyAlignment="1">
      <alignment horizontal="center"/>
    </xf>
    <xf numFmtId="0" fontId="0" fillId="5" borderId="0" xfId="0" applyFill="1"/>
    <xf numFmtId="0" fontId="2" fillId="3" borderId="0" xfId="0" applyFont="1" applyFill="1" applyAlignment="1">
      <alignment horizontal="center" vertical="center"/>
    </xf>
    <xf numFmtId="0" fontId="0" fillId="0" borderId="0" xfId="0" applyAlignment="1">
      <alignment vertical="center"/>
    </xf>
    <xf numFmtId="0" fontId="0" fillId="5" borderId="0" xfId="0" applyFill="1" applyAlignment="1">
      <alignment vertical="center"/>
    </xf>
    <xf numFmtId="0" fontId="2" fillId="3" borderId="0" xfId="0" applyFont="1" applyFill="1" applyAlignment="1">
      <alignment vertical="center"/>
    </xf>
    <xf numFmtId="0" fontId="7" fillId="5" borderId="0" xfId="0" applyFont="1" applyFill="1"/>
    <xf numFmtId="0" fontId="4" fillId="0" borderId="0" xfId="0" applyFont="1"/>
    <xf numFmtId="0" fontId="7" fillId="0" borderId="0" xfId="0" applyFont="1" applyAlignment="1">
      <alignment wrapText="1"/>
    </xf>
    <xf numFmtId="12" fontId="0" fillId="0" borderId="0" xfId="0" applyNumberFormat="1"/>
    <xf numFmtId="0" fontId="0" fillId="2" borderId="0" xfId="0" applyFill="1" applyProtection="1">
      <protection locked="0"/>
    </xf>
    <xf numFmtId="0" fontId="4" fillId="2" borderId="0" xfId="0" applyFont="1" applyFill="1" applyAlignment="1" applyProtection="1">
      <alignment horizontal="right" wrapText="1"/>
      <protection locked="0"/>
    </xf>
    <xf numFmtId="0" fontId="0" fillId="0" borderId="0" xfId="0" applyProtection="1">
      <protection locked="0"/>
    </xf>
    <xf numFmtId="0" fontId="9" fillId="3" borderId="0" xfId="0" applyFont="1" applyFill="1" applyAlignment="1" applyProtection="1">
      <alignment horizontal="center" vertical="center" wrapText="1"/>
      <protection locked="0"/>
    </xf>
    <xf numFmtId="0" fontId="0" fillId="5" borderId="0" xfId="0" applyFill="1" applyProtection="1">
      <protection locked="0"/>
    </xf>
    <xf numFmtId="0" fontId="1" fillId="2" borderId="0" xfId="0" applyFont="1" applyFill="1" applyAlignment="1" applyProtection="1">
      <alignment wrapText="1"/>
      <protection locked="0"/>
    </xf>
    <xf numFmtId="0" fontId="11" fillId="2" borderId="0" xfId="0" applyFont="1" applyFill="1" applyAlignment="1" applyProtection="1">
      <alignment wrapText="1"/>
      <protection locked="0"/>
    </xf>
    <xf numFmtId="0" fontId="10" fillId="2" borderId="0" xfId="0" applyFont="1" applyFill="1" applyAlignment="1" applyProtection="1">
      <alignment wrapText="1"/>
      <protection locked="0"/>
    </xf>
    <xf numFmtId="0" fontId="21" fillId="2" borderId="0" xfId="0" applyFont="1" applyFill="1" applyAlignment="1" applyProtection="1">
      <alignment horizontal="center" wrapText="1"/>
      <protection locked="0"/>
    </xf>
    <xf numFmtId="0" fontId="7" fillId="2" borderId="0" xfId="0" applyFont="1" applyFill="1" applyProtection="1">
      <protection locked="0"/>
    </xf>
    <xf numFmtId="0" fontId="2" fillId="2" borderId="0" xfId="0" applyFont="1" applyFill="1" applyAlignment="1" applyProtection="1">
      <alignment horizontal="center"/>
      <protection locked="0"/>
    </xf>
    <xf numFmtId="0" fontId="0" fillId="2" borderId="0" xfId="0" applyFill="1"/>
    <xf numFmtId="0" fontId="0" fillId="0" borderId="0" xfId="0" applyAlignment="1" applyProtection="1">
      <alignment wrapText="1"/>
      <protection locked="0"/>
    </xf>
    <xf numFmtId="0" fontId="2" fillId="3" borderId="0" xfId="0" applyFont="1" applyFill="1" applyAlignment="1">
      <alignment horizontal="center" vertical="center"/>
    </xf>
    <xf numFmtId="0" fontId="0" fillId="2" borderId="0" xfId="0" applyFill="1" applyAlignment="1">
      <alignment wrapText="1"/>
    </xf>
    <xf numFmtId="0" fontId="0" fillId="0" borderId="0" xfId="0"/>
    <xf numFmtId="0" fontId="0" fillId="0" borderId="0" xfId="0" applyAlignment="1">
      <alignment wrapText="1"/>
    </xf>
    <xf numFmtId="0" fontId="4" fillId="0" borderId="0" xfId="0" applyFont="1" applyAlignment="1">
      <alignment vertical="center" wrapText="1"/>
    </xf>
    <xf numFmtId="0" fontId="4" fillId="0" borderId="0" xfId="0" applyFont="1" applyAlignment="1">
      <alignment vertical="center"/>
    </xf>
    <xf numFmtId="0" fontId="2" fillId="4" borderId="0" xfId="0" applyFont="1" applyFill="1" applyAlignment="1">
      <alignment wrapText="1"/>
    </xf>
    <xf numFmtId="0" fontId="2" fillId="4" borderId="0" xfId="0" applyFont="1" applyFill="1"/>
    <xf numFmtId="0" fontId="0" fillId="0" borderId="0" xfId="0" applyProtection="1">
      <protection locked="0"/>
    </xf>
    <xf numFmtId="0" fontId="5" fillId="5" borderId="0" xfId="0" applyFont="1" applyFill="1" applyAlignment="1">
      <alignment horizontal="center" vertical="center"/>
    </xf>
    <xf numFmtId="0" fontId="6" fillId="5" borderId="0" xfId="0" applyFont="1" applyFill="1" applyAlignment="1">
      <alignment horizontal="center" vertical="center"/>
    </xf>
    <xf numFmtId="0" fontId="2" fillId="3" borderId="0" xfId="0" applyFont="1" applyFill="1" applyAlignment="1">
      <alignment horizontal="center" vertical="center" wrapText="1"/>
    </xf>
    <xf numFmtId="0" fontId="3" fillId="5" borderId="0" xfId="0" applyFont="1" applyFill="1" applyAlignment="1">
      <alignment horizontal="center" vertical="center" wrapText="1"/>
    </xf>
    <xf numFmtId="0" fontId="14" fillId="5" borderId="0" xfId="0" applyFont="1" applyFill="1" applyAlignment="1">
      <alignment horizontal="center" wrapText="1"/>
    </xf>
    <xf numFmtId="0" fontId="0" fillId="5" borderId="0" xfId="0" applyFill="1"/>
    <xf numFmtId="0" fontId="4" fillId="0" borderId="0" xfId="0" applyFont="1" applyAlignment="1">
      <alignment horizontal="center" vertical="center" wrapText="1"/>
    </xf>
    <xf numFmtId="0" fontId="0" fillId="2" borderId="0" xfId="0" applyFill="1" applyAlignment="1" applyProtection="1">
      <alignment wrapText="1"/>
      <protection locked="0"/>
    </xf>
    <xf numFmtId="0" fontId="4" fillId="0" borderId="0" xfId="0" applyFont="1" applyAlignment="1">
      <alignment horizontal="center" vertical="center"/>
    </xf>
    <xf numFmtId="0" fontId="7" fillId="0" borderId="0" xfId="0" applyFont="1" applyAlignment="1">
      <alignment wrapText="1"/>
    </xf>
    <xf numFmtId="0" fontId="7" fillId="0" borderId="0" xfId="0" applyFont="1"/>
    <xf numFmtId="0" fontId="0" fillId="2" borderId="0" xfId="0" applyFill="1" applyProtection="1">
      <protection locked="0"/>
    </xf>
    <xf numFmtId="0" fontId="4" fillId="2" borderId="0" xfId="0" applyFont="1" applyFill="1" applyAlignment="1" applyProtection="1">
      <alignment horizontal="right" wrapText="1"/>
      <protection locked="0"/>
    </xf>
    <xf numFmtId="0" fontId="3" fillId="4" borderId="0" xfId="0" applyFont="1" applyFill="1" applyAlignment="1">
      <alignment wrapText="1"/>
    </xf>
    <xf numFmtId="0" fontId="3" fillId="4" borderId="0" xfId="0" applyFont="1" applyFill="1"/>
    <xf numFmtId="0" fontId="4" fillId="0" borderId="0" xfId="0" applyFont="1" applyAlignment="1">
      <alignment horizontal="right"/>
    </xf>
    <xf numFmtId="0" fontId="0" fillId="0" borderId="0" xfId="0" applyAlignment="1">
      <alignment horizontal="right"/>
    </xf>
    <xf numFmtId="0" fontId="19" fillId="3" borderId="0" xfId="0" applyFont="1" applyFill="1" applyAlignment="1">
      <alignment horizontal="center" vertical="center" wrapText="1"/>
    </xf>
    <xf numFmtId="0" fontId="0" fillId="3" borderId="0" xfId="0" applyFill="1" applyAlignment="1">
      <alignment horizontal="center" vertical="center" wrapText="1"/>
    </xf>
    <xf numFmtId="0" fontId="25" fillId="0" borderId="0" xfId="0" applyFont="1" applyAlignment="1">
      <alignment wrapText="1"/>
    </xf>
    <xf numFmtId="0" fontId="27" fillId="0" borderId="0" xfId="0" applyFont="1" applyAlignment="1">
      <alignment wrapText="1"/>
    </xf>
    <xf numFmtId="0" fontId="26" fillId="0" borderId="0" xfId="0" applyFont="1" applyAlignment="1">
      <alignment horizontal="right" wrapText="1"/>
    </xf>
    <xf numFmtId="0" fontId="4" fillId="0" borderId="0" xfId="0" applyFont="1" applyAlignment="1">
      <alignment horizontal="right" wrapText="1"/>
    </xf>
    <xf numFmtId="0" fontId="19" fillId="3" borderId="0" xfId="0" applyFont="1" applyFill="1" applyAlignment="1">
      <alignment horizontal="center" vertical="center"/>
    </xf>
    <xf numFmtId="0" fontId="17" fillId="3" borderId="0" xfId="0" applyFont="1" applyFill="1" applyAlignment="1">
      <alignment horizontal="center" vertical="center"/>
    </xf>
    <xf numFmtId="0" fontId="7" fillId="0" borderId="0" xfId="0" applyFont="1" applyAlignment="1">
      <alignment horizontal="left" wrapText="1"/>
    </xf>
    <xf numFmtId="0" fontId="7" fillId="2" borderId="0" xfId="0" applyFont="1" applyFill="1" applyAlignment="1" applyProtection="1">
      <alignment horizontal="center"/>
      <protection locked="0"/>
    </xf>
    <xf numFmtId="0" fontId="7" fillId="0" borderId="0" xfId="0" applyFont="1" applyAlignment="1">
      <alignment horizontal="center"/>
    </xf>
    <xf numFmtId="0" fontId="7" fillId="0" borderId="0" xfId="0" applyFont="1" applyAlignment="1">
      <alignment horizontal="left"/>
    </xf>
    <xf numFmtId="0" fontId="0" fillId="0" borderId="0" xfId="0" applyAlignment="1">
      <alignment horizontal="center"/>
    </xf>
    <xf numFmtId="0" fontId="3" fillId="5" borderId="0" xfId="0" applyFont="1" applyFill="1" applyAlignment="1">
      <alignment horizontal="center" vertical="center"/>
    </xf>
    <xf numFmtId="0" fontId="2" fillId="2" borderId="0" xfId="0" applyFont="1" applyFill="1" applyAlignment="1" applyProtection="1">
      <alignment horizontal="center"/>
      <protection locked="0"/>
    </xf>
    <xf numFmtId="0" fontId="2" fillId="0" borderId="0" xfId="0" applyFont="1" applyAlignment="1">
      <alignment horizontal="center"/>
    </xf>
    <xf numFmtId="0" fontId="4" fillId="0" borderId="0" xfId="0" applyFont="1"/>
    <xf numFmtId="0" fontId="17" fillId="0" borderId="0" xfId="0" applyFont="1"/>
    <xf numFmtId="0" fontId="4" fillId="0" borderId="0" xfId="0" applyFont="1" applyAlignment="1">
      <alignment wrapText="1"/>
    </xf>
    <xf numFmtId="0" fontId="4" fillId="0" borderId="0" xfId="0" applyFont="1" applyAlignment="1">
      <alignment horizontal="left" vertical="center"/>
    </xf>
    <xf numFmtId="0" fontId="0" fillId="0" borderId="0" xfId="0" applyAlignment="1" applyProtection="1">
      <alignment horizontal="left" wrapText="1"/>
      <protection locked="0"/>
    </xf>
    <xf numFmtId="0" fontId="0" fillId="0" borderId="0" xfId="0" applyAlignment="1" applyProtection="1">
      <alignment horizontal="left"/>
      <protection locked="0"/>
    </xf>
    <xf numFmtId="0" fontId="0" fillId="0" borderId="0" xfId="0" applyAlignment="1" applyProtection="1">
      <alignment wrapText="1"/>
      <protection locked="0"/>
    </xf>
    <xf numFmtId="0" fontId="15" fillId="5" borderId="0" xfId="0" applyFont="1" applyFill="1" applyAlignment="1">
      <alignment horizontal="center" vertical="center"/>
    </xf>
    <xf numFmtId="0" fontId="5" fillId="5" borderId="0" xfId="0" applyFont="1" applyFill="1" applyAlignment="1">
      <alignment horizontal="center"/>
    </xf>
    <xf numFmtId="0" fontId="6" fillId="5" borderId="0" xfId="0" applyFont="1" applyFill="1" applyAlignment="1">
      <alignment horizontal="center"/>
    </xf>
    <xf numFmtId="0" fontId="2" fillId="2" borderId="0" xfId="0" applyFont="1" applyFill="1" applyAlignment="1">
      <alignment horizontal="center" vertical="center"/>
    </xf>
    <xf numFmtId="0" fontId="0" fillId="0" borderId="0" xfId="0" applyAlignment="1" applyProtection="1">
      <alignment horizontal="center"/>
      <protection locked="0"/>
    </xf>
    <xf numFmtId="0" fontId="0" fillId="2" borderId="0" xfId="0" applyFill="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Demand!$A$39:$A$41</c:f>
              <c:strCache>
                <c:ptCount val="3"/>
                <c:pt idx="0">
                  <c:v>Low</c:v>
                </c:pt>
                <c:pt idx="1">
                  <c:v>Medium</c:v>
                </c:pt>
                <c:pt idx="2">
                  <c:v>High</c:v>
                </c:pt>
              </c:strCache>
            </c:strRef>
          </c:cat>
          <c:val>
            <c:numRef>
              <c:f>Demand!$B$39:$B$41</c:f>
              <c:numCache>
                <c:formatCode>General</c:formatCode>
                <c:ptCount val="3"/>
              </c:numCache>
            </c:numRef>
          </c:val>
          <c:extLst>
            <c:ext xmlns:c16="http://schemas.microsoft.com/office/drawing/2014/chart" uri="{C3380CC4-5D6E-409C-BE32-E72D297353CC}">
              <c16:uniqueId val="{00000000-4105-3C4D-8FAD-6C7B6F669A2B}"/>
            </c:ext>
          </c:extLst>
        </c:ser>
        <c:ser>
          <c:idx val="1"/>
          <c:order val="1"/>
          <c:spPr>
            <a:solidFill>
              <a:schemeClr val="accent5"/>
            </a:solidFill>
            <a:ln>
              <a:noFill/>
            </a:ln>
            <a:effectLst/>
          </c:spPr>
          <c:invertIfNegative val="0"/>
          <c:cat>
            <c:strRef>
              <c:f>Demand!$A$39:$A$41</c:f>
              <c:strCache>
                <c:ptCount val="3"/>
                <c:pt idx="0">
                  <c:v>Low</c:v>
                </c:pt>
                <c:pt idx="1">
                  <c:v>Medium</c:v>
                </c:pt>
                <c:pt idx="2">
                  <c:v>High</c:v>
                </c:pt>
              </c:strCache>
            </c:strRef>
          </c:cat>
          <c:val>
            <c:numRef>
              <c:f>Demand!$C$39:$C$41</c:f>
              <c:numCache>
                <c:formatCode>General</c:formatCode>
                <c:ptCount val="3"/>
                <c:pt idx="0">
                  <c:v>0</c:v>
                </c:pt>
                <c:pt idx="1">
                  <c:v>0</c:v>
                </c:pt>
                <c:pt idx="2">
                  <c:v>0</c:v>
                </c:pt>
              </c:numCache>
            </c:numRef>
          </c:val>
          <c:extLst>
            <c:ext xmlns:c16="http://schemas.microsoft.com/office/drawing/2014/chart" uri="{C3380CC4-5D6E-409C-BE32-E72D297353CC}">
              <c16:uniqueId val="{00000001-4105-3C4D-8FAD-6C7B6F669A2B}"/>
            </c:ext>
          </c:extLst>
        </c:ser>
        <c:dLbls>
          <c:showLegendKey val="0"/>
          <c:showVal val="0"/>
          <c:showCatName val="0"/>
          <c:showSerName val="0"/>
          <c:showPercent val="0"/>
          <c:showBubbleSize val="0"/>
        </c:dLbls>
        <c:gapWidth val="219"/>
        <c:axId val="2087640415"/>
        <c:axId val="2087525871"/>
      </c:barChart>
      <c:catAx>
        <c:axId val="20876404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525871"/>
        <c:crosses val="autoZero"/>
        <c:auto val="1"/>
        <c:lblAlgn val="ctr"/>
        <c:lblOffset val="100"/>
        <c:noMultiLvlLbl val="0"/>
      </c:catAx>
      <c:valAx>
        <c:axId val="2087525871"/>
        <c:scaling>
          <c:orientation val="minMax"/>
          <c:max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640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Demand!$G$39:$G$41</c:f>
              <c:strCache>
                <c:ptCount val="3"/>
                <c:pt idx="0">
                  <c:v>Low</c:v>
                </c:pt>
                <c:pt idx="1">
                  <c:v>Medium</c:v>
                </c:pt>
                <c:pt idx="2">
                  <c:v>High</c:v>
                </c:pt>
              </c:strCache>
            </c:strRef>
          </c:cat>
          <c:val>
            <c:numRef>
              <c:f>Demand!$H$39:$H$41</c:f>
              <c:numCache>
                <c:formatCode>General</c:formatCode>
                <c:ptCount val="3"/>
              </c:numCache>
            </c:numRef>
          </c:val>
          <c:extLst>
            <c:ext xmlns:c16="http://schemas.microsoft.com/office/drawing/2014/chart" uri="{C3380CC4-5D6E-409C-BE32-E72D297353CC}">
              <c16:uniqueId val="{00000000-0B13-0C4A-B747-C63B4198C501}"/>
            </c:ext>
          </c:extLst>
        </c:ser>
        <c:ser>
          <c:idx val="1"/>
          <c:order val="1"/>
          <c:spPr>
            <a:solidFill>
              <a:schemeClr val="accent3"/>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4-0B13-0C4A-B747-C63B4198C501}"/>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0B13-0C4A-B747-C63B4198C501}"/>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2-0B13-0C4A-B747-C63B4198C501}"/>
              </c:ext>
            </c:extLst>
          </c:dPt>
          <c:cat>
            <c:strRef>
              <c:f>Demand!$G$39:$G$41</c:f>
              <c:strCache>
                <c:ptCount val="3"/>
                <c:pt idx="0">
                  <c:v>Low</c:v>
                </c:pt>
                <c:pt idx="1">
                  <c:v>Medium</c:v>
                </c:pt>
                <c:pt idx="2">
                  <c:v>High</c:v>
                </c:pt>
              </c:strCache>
            </c:strRef>
          </c:cat>
          <c:val>
            <c:numRef>
              <c:f>Demand!$I$39:$I$41</c:f>
              <c:numCache>
                <c:formatCode>General</c:formatCode>
                <c:ptCount val="3"/>
                <c:pt idx="0">
                  <c:v>0</c:v>
                </c:pt>
                <c:pt idx="1">
                  <c:v>0</c:v>
                </c:pt>
                <c:pt idx="2">
                  <c:v>0</c:v>
                </c:pt>
              </c:numCache>
            </c:numRef>
          </c:val>
          <c:extLst>
            <c:ext xmlns:c16="http://schemas.microsoft.com/office/drawing/2014/chart" uri="{C3380CC4-5D6E-409C-BE32-E72D297353CC}">
              <c16:uniqueId val="{00000001-0B13-0C4A-B747-C63B4198C501}"/>
            </c:ext>
          </c:extLst>
        </c:ser>
        <c:dLbls>
          <c:showLegendKey val="0"/>
          <c:showVal val="0"/>
          <c:showCatName val="0"/>
          <c:showSerName val="0"/>
          <c:showPercent val="0"/>
          <c:showBubbleSize val="0"/>
        </c:dLbls>
        <c:gapWidth val="182"/>
        <c:axId val="2961744"/>
        <c:axId val="2002062271"/>
      </c:barChart>
      <c:catAx>
        <c:axId val="29617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062271"/>
        <c:crosses val="autoZero"/>
        <c:auto val="1"/>
        <c:lblAlgn val="ctr"/>
        <c:lblOffset val="100"/>
        <c:noMultiLvlLbl val="0"/>
      </c:catAx>
      <c:valAx>
        <c:axId val="2002062271"/>
        <c:scaling>
          <c:orientation val="minMax"/>
          <c:max val="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1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Demand!$M$39:$M$41</c:f>
              <c:strCache>
                <c:ptCount val="3"/>
                <c:pt idx="0">
                  <c:v>Pass</c:v>
                </c:pt>
                <c:pt idx="1">
                  <c:v>Partial</c:v>
                </c:pt>
                <c:pt idx="2">
                  <c:v>Fail</c:v>
                </c:pt>
              </c:strCache>
            </c:strRef>
          </c:cat>
          <c:val>
            <c:numRef>
              <c:f>Demand!$N$39:$N$41</c:f>
              <c:numCache>
                <c:formatCode>General</c:formatCode>
                <c:ptCount val="3"/>
              </c:numCache>
            </c:numRef>
          </c:val>
          <c:extLst>
            <c:ext xmlns:c16="http://schemas.microsoft.com/office/drawing/2014/chart" uri="{C3380CC4-5D6E-409C-BE32-E72D297353CC}">
              <c16:uniqueId val="{00000000-E64C-AA4E-9F90-FB01BDA67F67}"/>
            </c:ext>
          </c:extLst>
        </c:ser>
        <c:ser>
          <c:idx val="1"/>
          <c:order val="1"/>
          <c:spPr>
            <a:solidFill>
              <a:schemeClr val="accent2"/>
            </a:solidFill>
            <a:ln>
              <a:noFill/>
            </a:ln>
            <a:effectLst/>
          </c:spPr>
          <c:invertIfNegative val="0"/>
          <c:dPt>
            <c:idx val="0"/>
            <c:invertIfNegative val="0"/>
            <c:bubble3D val="0"/>
            <c:spPr>
              <a:solidFill>
                <a:schemeClr val="accent5"/>
              </a:solidFill>
              <a:ln>
                <a:noFill/>
              </a:ln>
              <a:effectLst/>
            </c:spPr>
            <c:extLst>
              <c:ext xmlns:c16="http://schemas.microsoft.com/office/drawing/2014/chart" uri="{C3380CC4-5D6E-409C-BE32-E72D297353CC}">
                <c16:uniqueId val="{00000004-E64C-AA4E-9F90-FB01BDA67F67}"/>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E64C-AA4E-9F90-FB01BDA67F67}"/>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2-E64C-AA4E-9F90-FB01BDA67F67}"/>
              </c:ext>
            </c:extLst>
          </c:dPt>
          <c:cat>
            <c:strRef>
              <c:f>Demand!$M$39:$M$41</c:f>
              <c:strCache>
                <c:ptCount val="3"/>
                <c:pt idx="0">
                  <c:v>Pass</c:v>
                </c:pt>
                <c:pt idx="1">
                  <c:v>Partial</c:v>
                </c:pt>
                <c:pt idx="2">
                  <c:v>Fail</c:v>
                </c:pt>
              </c:strCache>
            </c:strRef>
          </c:cat>
          <c:val>
            <c:numRef>
              <c:f>Demand!$O$39:$O$41</c:f>
              <c:numCache>
                <c:formatCode>General</c:formatCode>
                <c:ptCount val="3"/>
                <c:pt idx="0">
                  <c:v>0</c:v>
                </c:pt>
                <c:pt idx="1">
                  <c:v>0</c:v>
                </c:pt>
                <c:pt idx="2">
                  <c:v>0</c:v>
                </c:pt>
              </c:numCache>
            </c:numRef>
          </c:val>
          <c:extLst>
            <c:ext xmlns:c16="http://schemas.microsoft.com/office/drawing/2014/chart" uri="{C3380CC4-5D6E-409C-BE32-E72D297353CC}">
              <c16:uniqueId val="{00000001-E64C-AA4E-9F90-FB01BDA67F67}"/>
            </c:ext>
          </c:extLst>
        </c:ser>
        <c:dLbls>
          <c:showLegendKey val="0"/>
          <c:showVal val="0"/>
          <c:showCatName val="0"/>
          <c:showSerName val="0"/>
          <c:showPercent val="0"/>
          <c:showBubbleSize val="0"/>
        </c:dLbls>
        <c:gapWidth val="182"/>
        <c:axId val="2112720287"/>
        <c:axId val="1163397071"/>
      </c:barChart>
      <c:catAx>
        <c:axId val="211272028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3397071"/>
        <c:crosses val="autoZero"/>
        <c:auto val="1"/>
        <c:lblAlgn val="ctr"/>
        <c:lblOffset val="100"/>
        <c:noMultiLvlLbl val="0"/>
      </c:catAx>
      <c:valAx>
        <c:axId val="1163397071"/>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2720287"/>
        <c:crosses val="autoZero"/>
        <c:crossBetween val="between"/>
        <c:majorUnit val="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Demand!$S$39:$S$42</c:f>
              <c:strCache>
                <c:ptCount val="4"/>
                <c:pt idx="0">
                  <c:v>Yes</c:v>
                </c:pt>
                <c:pt idx="1">
                  <c:v>No</c:v>
                </c:pt>
                <c:pt idx="2">
                  <c:v>Somewhat</c:v>
                </c:pt>
                <c:pt idx="3">
                  <c:v>Unsure</c:v>
                </c:pt>
              </c:strCache>
            </c:strRef>
          </c:cat>
          <c:val>
            <c:numRef>
              <c:f>Demand!$T$39:$T$42</c:f>
              <c:numCache>
                <c:formatCode>General</c:formatCode>
                <c:ptCount val="4"/>
              </c:numCache>
            </c:numRef>
          </c:val>
          <c:extLst>
            <c:ext xmlns:c16="http://schemas.microsoft.com/office/drawing/2014/chart" uri="{C3380CC4-5D6E-409C-BE32-E72D297353CC}">
              <c16:uniqueId val="{00000000-8CF2-7546-ADFE-5052D45C7FAD}"/>
            </c:ext>
          </c:extLst>
        </c:ser>
        <c:ser>
          <c:idx val="1"/>
          <c:order val="1"/>
          <c:spPr>
            <a:solidFill>
              <a:schemeClr val="accent5"/>
            </a:solidFill>
            <a:ln>
              <a:noFill/>
            </a:ln>
            <a:effectLst/>
          </c:spPr>
          <c:invertIfNegative val="0"/>
          <c:cat>
            <c:strRef>
              <c:f>Demand!$S$39:$S$42</c:f>
              <c:strCache>
                <c:ptCount val="4"/>
                <c:pt idx="0">
                  <c:v>Yes</c:v>
                </c:pt>
                <c:pt idx="1">
                  <c:v>No</c:v>
                </c:pt>
                <c:pt idx="2">
                  <c:v>Somewhat</c:v>
                </c:pt>
                <c:pt idx="3">
                  <c:v>Unsure</c:v>
                </c:pt>
              </c:strCache>
            </c:strRef>
          </c:cat>
          <c:val>
            <c:numRef>
              <c:f>Demand!$U$39:$U$42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8CF2-7546-ADFE-5052D45C7FAD}"/>
            </c:ext>
          </c:extLst>
        </c:ser>
        <c:dLbls>
          <c:showLegendKey val="0"/>
          <c:showVal val="0"/>
          <c:showCatName val="0"/>
          <c:showSerName val="0"/>
          <c:showPercent val="0"/>
          <c:showBubbleSize val="0"/>
        </c:dLbls>
        <c:gapWidth val="182"/>
        <c:axId val="2116876159"/>
        <c:axId val="1740157471"/>
      </c:barChart>
      <c:catAx>
        <c:axId val="2116876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157471"/>
        <c:crosses val="autoZero"/>
        <c:auto val="1"/>
        <c:lblAlgn val="ctr"/>
        <c:lblOffset val="100"/>
        <c:noMultiLvlLbl val="0"/>
      </c:catAx>
      <c:valAx>
        <c:axId val="1740157471"/>
        <c:scaling>
          <c:orientation val="minMax"/>
          <c:max val="3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6876159"/>
        <c:crosses val="autoZero"/>
        <c:crossBetween val="between"/>
        <c:majorUnit val="5"/>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19050" cap="flat" cmpd="sng" algn="ctr">
      <a:solidFill>
        <a:srgbClr val="00206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17034226</xdr:colOff>
      <xdr:row>0</xdr:row>
      <xdr:rowOff>0</xdr:rowOff>
    </xdr:from>
    <xdr:to>
      <xdr:col>1</xdr:col>
      <xdr:colOff>1059</xdr:colOff>
      <xdr:row>1</xdr:row>
      <xdr:rowOff>0</xdr:rowOff>
    </xdr:to>
    <xdr:pic>
      <xdr:nvPicPr>
        <xdr:cNvPr id="3" name="Picture 2">
          <a:extLst>
            <a:ext uri="{FF2B5EF4-FFF2-40B4-BE49-F238E27FC236}">
              <a16:creationId xmlns:a16="http://schemas.microsoft.com/office/drawing/2014/main" id="{F8DCD7D9-C28C-114E-AB35-CB091A47F2F9}"/>
            </a:ext>
          </a:extLst>
        </xdr:cNvPr>
        <xdr:cNvPicPr>
          <a:picLocks noChangeAspect="1"/>
        </xdr:cNvPicPr>
      </xdr:nvPicPr>
      <xdr:blipFill>
        <a:blip xmlns:r="http://schemas.openxmlformats.org/officeDocument/2006/relationships" r:embed="rId1"/>
        <a:stretch>
          <a:fillRect/>
        </a:stretch>
      </xdr:blipFill>
      <xdr:spPr>
        <a:xfrm>
          <a:off x="17034226" y="0"/>
          <a:ext cx="2445458" cy="2444750"/>
        </a:xfrm>
        <a:prstGeom prst="rect">
          <a:avLst/>
        </a:prstGeom>
      </xdr:spPr>
    </xdr:pic>
    <xdr:clientData/>
  </xdr:twoCellAnchor>
  <xdr:twoCellAnchor editAs="oneCell">
    <xdr:from>
      <xdr:col>0</xdr:col>
      <xdr:colOff>413488</xdr:colOff>
      <xdr:row>0</xdr:row>
      <xdr:rowOff>472557</xdr:rowOff>
    </xdr:from>
    <xdr:to>
      <xdr:col>0</xdr:col>
      <xdr:colOff>3481571</xdr:colOff>
      <xdr:row>0</xdr:row>
      <xdr:rowOff>1919766</xdr:rowOff>
    </xdr:to>
    <xdr:pic>
      <xdr:nvPicPr>
        <xdr:cNvPr id="2" name="Picture 1">
          <a:extLst>
            <a:ext uri="{FF2B5EF4-FFF2-40B4-BE49-F238E27FC236}">
              <a16:creationId xmlns:a16="http://schemas.microsoft.com/office/drawing/2014/main" id="{D836205E-CB87-2C10-B098-C48DD6C1B8EF}"/>
            </a:ext>
          </a:extLst>
        </xdr:cNvPr>
        <xdr:cNvPicPr>
          <a:picLocks noChangeAspect="1"/>
        </xdr:cNvPicPr>
      </xdr:nvPicPr>
      <xdr:blipFill>
        <a:blip xmlns:r="http://schemas.openxmlformats.org/officeDocument/2006/relationships" r:embed="rId2"/>
        <a:stretch>
          <a:fillRect/>
        </a:stretch>
      </xdr:blipFill>
      <xdr:spPr>
        <a:xfrm>
          <a:off x="413488" y="472557"/>
          <a:ext cx="3068083" cy="14472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xdr:colOff>
      <xdr:row>36</xdr:row>
      <xdr:rowOff>380553</xdr:rowOff>
    </xdr:from>
    <xdr:to>
      <xdr:col>6</xdr:col>
      <xdr:colOff>10949</xdr:colOff>
      <xdr:row>49</xdr:row>
      <xdr:rowOff>173552</xdr:rowOff>
    </xdr:to>
    <xdr:graphicFrame macro="">
      <xdr:nvGraphicFramePr>
        <xdr:cNvPr id="23" name="Chart 22">
          <a:extLst>
            <a:ext uri="{FF2B5EF4-FFF2-40B4-BE49-F238E27FC236}">
              <a16:creationId xmlns:a16="http://schemas.microsoft.com/office/drawing/2014/main" id="{74104291-0157-9650-499E-D9705D279A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1134215</xdr:colOff>
      <xdr:row>36</xdr:row>
      <xdr:rowOff>402894</xdr:rowOff>
    </xdr:from>
    <xdr:to>
      <xdr:col>11</xdr:col>
      <xdr:colOff>816822</xdr:colOff>
      <xdr:row>49</xdr:row>
      <xdr:rowOff>195893</xdr:rowOff>
    </xdr:to>
    <xdr:graphicFrame macro="">
      <xdr:nvGraphicFramePr>
        <xdr:cNvPr id="24" name="Chart 23">
          <a:extLst>
            <a:ext uri="{FF2B5EF4-FFF2-40B4-BE49-F238E27FC236}">
              <a16:creationId xmlns:a16="http://schemas.microsoft.com/office/drawing/2014/main" id="{372D412A-1AF0-2727-52B8-41AE5B0D86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321734</xdr:colOff>
      <xdr:row>37</xdr:row>
      <xdr:rowOff>1</xdr:rowOff>
    </xdr:from>
    <xdr:to>
      <xdr:col>18</xdr:col>
      <xdr:colOff>1</xdr:colOff>
      <xdr:row>50</xdr:row>
      <xdr:rowOff>0</xdr:rowOff>
    </xdr:to>
    <xdr:graphicFrame macro="">
      <xdr:nvGraphicFramePr>
        <xdr:cNvPr id="25" name="Chart 24">
          <a:extLst>
            <a:ext uri="{FF2B5EF4-FFF2-40B4-BE49-F238E27FC236}">
              <a16:creationId xmlns:a16="http://schemas.microsoft.com/office/drawing/2014/main" id="{64BA6F78-FC72-EDC0-2556-A9D52AF1BE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314423</xdr:colOff>
      <xdr:row>37</xdr:row>
      <xdr:rowOff>12700</xdr:rowOff>
    </xdr:from>
    <xdr:to>
      <xdr:col>23</xdr:col>
      <xdr:colOff>824455</xdr:colOff>
      <xdr:row>50</xdr:row>
      <xdr:rowOff>13716</xdr:rowOff>
    </xdr:to>
    <xdr:graphicFrame macro="">
      <xdr:nvGraphicFramePr>
        <xdr:cNvPr id="26" name="Chart 25">
          <a:extLst>
            <a:ext uri="{FF2B5EF4-FFF2-40B4-BE49-F238E27FC236}">
              <a16:creationId xmlns:a16="http://schemas.microsoft.com/office/drawing/2014/main" id="{49916D34-2B7C-1BB5-D857-EF000ACD2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5236FB7-6F4D-3142-BE28-5E04EE032FA9}">
  <we:reference id="b338db8e-54ac-4bb2-b9e3-c832966c00c3" version="1.0.0.4" store="EXCatalog" storeType="EXCatalog"/>
  <we:alternateReferences>
    <we:reference id="WA200001095" version="1.0.0.4" store="en-GB" storeType="OMEX"/>
  </we:alternateReferences>
  <we:properties>
    <we:property name="Office.AutoShowTaskpaneWithDocument" value="false"/>
    <we:property name="gantt_start" value="&quot;2024-05-17T00:00&quot;"/>
    <we:property name="version" value="&quot;2.0&quot;"/>
    <we:property name="gantt_zoom" value="0"/>
    <we:property name="progress_column" value="false"/>
    <we:property name="progress_gantt" value="false"/>
    <we:property name="critical_gantt" value="false"/>
    <we:property name="slack_gantt" value="false"/>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3D978-241F-B242-96A7-B21F1EB90115}">
  <sheetPr codeName="Sheet1">
    <tabColor theme="3" tint="0.749992370372631"/>
  </sheetPr>
  <dimension ref="A1:B8"/>
  <sheetViews>
    <sheetView zoomScale="43" zoomScaleNormal="40" workbookViewId="0">
      <selection activeCell="A2" sqref="A2"/>
    </sheetView>
  </sheetViews>
  <sheetFormatPr baseColWidth="10" defaultColWidth="11" defaultRowHeight="16" x14ac:dyDescent="0.2"/>
  <cols>
    <col min="1" max="1" width="255.6640625" customWidth="1"/>
  </cols>
  <sheetData>
    <row r="1" spans="1:2" ht="192" x14ac:dyDescent="0.2">
      <c r="A1" s="19" t="s">
        <v>0</v>
      </c>
      <c r="B1" s="20"/>
    </row>
    <row r="2" spans="1:2" ht="264" x14ac:dyDescent="0.4">
      <c r="A2" s="21" t="s">
        <v>1</v>
      </c>
      <c r="B2" s="20"/>
    </row>
    <row r="3" spans="1:2" ht="212.25" customHeight="1" x14ac:dyDescent="0.4">
      <c r="A3" s="22" t="s">
        <v>2</v>
      </c>
      <c r="B3" s="20"/>
    </row>
    <row r="4" spans="1:2" ht="409" customHeight="1" x14ac:dyDescent="0.4">
      <c r="A4" s="22" t="s">
        <v>402</v>
      </c>
      <c r="B4" s="20"/>
    </row>
    <row r="5" spans="1:2" ht="132" x14ac:dyDescent="0.4">
      <c r="A5" s="23" t="s">
        <v>3</v>
      </c>
      <c r="B5" s="20"/>
    </row>
    <row r="6" spans="1:2" ht="144" customHeight="1" x14ac:dyDescent="0.4">
      <c r="A6" s="22" t="s">
        <v>4</v>
      </c>
      <c r="B6" s="20"/>
    </row>
    <row r="7" spans="1:2" ht="80" customHeight="1" x14ac:dyDescent="0.4">
      <c r="A7" s="24" t="s">
        <v>403</v>
      </c>
      <c r="B7" s="20"/>
    </row>
    <row r="8" spans="1:2" ht="32" customHeight="1" x14ac:dyDescent="0.2">
      <c r="A8" s="20"/>
      <c r="B8" s="20"/>
    </row>
  </sheetData>
  <sheetProtection algorithmName="SHA-512" hashValue="QLMh2q5vSbtWFmRXrz7Pl5EmnW5RzFIJj3hQ82pjMJLYPqe12IQfmBgd16ubwgUwxpFt7mTUH/KVtWAPBErrXA==" saltValue="cttq2ESdBnLk+eh/Wj3buQ==" spinCount="100000" sheet="1" objects="1" scenarios="1" selectLockedCells="1"/>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9509B-63FD-E64B-88F9-37E57CC64C95}">
  <sheetPr codeName="Sheet2">
    <tabColor theme="3" tint="0.249977111117893"/>
  </sheetPr>
  <dimension ref="A1:AA66"/>
  <sheetViews>
    <sheetView zoomScale="87" zoomScaleNormal="110" workbookViewId="0">
      <selection activeCell="M11" sqref="M11"/>
    </sheetView>
  </sheetViews>
  <sheetFormatPr baseColWidth="10" defaultColWidth="11" defaultRowHeight="16" x14ac:dyDescent="0.2"/>
  <cols>
    <col min="1" max="1" width="11" customWidth="1"/>
    <col min="2" max="2" width="1.6640625" customWidth="1"/>
    <col min="3" max="3" width="14.1640625" customWidth="1"/>
    <col min="4" max="4" width="10.83203125" customWidth="1"/>
    <col min="5" max="5" width="12.6640625" customWidth="1"/>
    <col min="7" max="7" width="11" customWidth="1"/>
    <col min="8" max="8" width="3.6640625" customWidth="1"/>
    <col min="9" max="9" width="22.1640625" customWidth="1"/>
    <col min="17" max="17" width="10.83203125" customWidth="1"/>
    <col min="26" max="26" width="1.33203125" customWidth="1"/>
    <col min="27" max="27" width="1.5" customWidth="1"/>
  </cols>
  <sheetData>
    <row r="1" spans="1:27" ht="152.25" customHeight="1" x14ac:dyDescent="0.25">
      <c r="A1" s="51" t="s">
        <v>404</v>
      </c>
      <c r="B1" s="52"/>
      <c r="C1" s="52"/>
      <c r="D1" s="52"/>
      <c r="E1" s="52"/>
      <c r="F1" s="52"/>
      <c r="G1" s="52"/>
      <c r="H1" s="52"/>
      <c r="I1" s="52"/>
      <c r="J1" s="52"/>
      <c r="K1" s="52"/>
      <c r="L1" s="52"/>
      <c r="M1" s="52"/>
      <c r="N1" s="52"/>
      <c r="O1" s="52"/>
      <c r="P1" s="52"/>
      <c r="Q1" s="52"/>
      <c r="R1" s="52"/>
      <c r="S1" s="52"/>
      <c r="T1" s="52"/>
      <c r="U1" s="52"/>
      <c r="V1" s="52"/>
      <c r="W1" s="52"/>
      <c r="X1" s="52"/>
      <c r="Y1" s="7"/>
    </row>
    <row r="2" spans="1:27" ht="32" customHeight="1" x14ac:dyDescent="0.2">
      <c r="A2" s="68" t="s">
        <v>5</v>
      </c>
      <c r="B2" s="68"/>
      <c r="C2" s="68"/>
      <c r="D2" s="68"/>
      <c r="E2" s="68"/>
      <c r="F2" s="68"/>
      <c r="G2" s="68"/>
      <c r="H2" s="68"/>
      <c r="I2" s="68"/>
      <c r="J2" s="68"/>
      <c r="K2" s="68"/>
      <c r="L2" s="68"/>
      <c r="M2" s="68"/>
      <c r="N2" s="68"/>
      <c r="O2" s="68"/>
      <c r="P2" s="68"/>
      <c r="Q2" s="68"/>
      <c r="R2" s="68"/>
      <c r="S2" s="68"/>
      <c r="T2" s="68"/>
      <c r="U2" s="68"/>
      <c r="V2" s="68"/>
      <c r="W2" s="68"/>
      <c r="X2" s="68"/>
      <c r="Y2" s="7"/>
    </row>
    <row r="3" spans="1:27" ht="32" customHeight="1" x14ac:dyDescent="0.2">
      <c r="A3" s="29" t="s">
        <v>6</v>
      </c>
      <c r="B3" s="29"/>
      <c r="C3" s="29"/>
      <c r="D3" s="29"/>
      <c r="E3" s="29" t="s">
        <v>7</v>
      </c>
      <c r="F3" s="29"/>
      <c r="G3" s="29"/>
      <c r="H3" s="29"/>
      <c r="I3" s="29"/>
      <c r="J3" s="29"/>
      <c r="K3" s="29"/>
      <c r="L3" s="29"/>
      <c r="M3" s="29" t="s">
        <v>8</v>
      </c>
      <c r="N3" s="29"/>
      <c r="O3" s="29"/>
      <c r="P3" s="29"/>
      <c r="Q3" s="29"/>
      <c r="R3" s="29"/>
      <c r="S3" s="29" t="s">
        <v>9</v>
      </c>
      <c r="T3" s="29"/>
      <c r="U3" s="29" t="s">
        <v>10</v>
      </c>
      <c r="V3" s="29"/>
      <c r="W3" s="29"/>
      <c r="X3" s="29"/>
      <c r="Y3" s="7"/>
    </row>
    <row r="4" spans="1:27" ht="32" customHeight="1" x14ac:dyDescent="0.2">
      <c r="A4" s="32" t="s">
        <v>11</v>
      </c>
      <c r="B4" s="32"/>
      <c r="C4" s="32"/>
      <c r="D4" s="32"/>
      <c r="E4" s="32"/>
      <c r="F4" s="32"/>
      <c r="G4" s="32"/>
      <c r="H4" s="32"/>
      <c r="I4" s="32"/>
      <c r="J4" s="32"/>
      <c r="K4" s="32"/>
      <c r="L4" s="32"/>
      <c r="M4" s="32"/>
      <c r="N4" s="32"/>
      <c r="O4" s="32"/>
      <c r="P4" s="32"/>
      <c r="Q4" s="32"/>
      <c r="R4" s="32"/>
      <c r="S4" s="46" t="s">
        <v>12</v>
      </c>
      <c r="T4" s="46"/>
      <c r="U4" s="46" t="s">
        <v>13</v>
      </c>
      <c r="V4" s="46"/>
      <c r="W4" s="46" t="s">
        <v>14</v>
      </c>
      <c r="X4" s="46"/>
      <c r="Y4" s="7"/>
    </row>
    <row r="5" spans="1:27" ht="32" customHeight="1" x14ac:dyDescent="0.2">
      <c r="A5" s="32" t="s">
        <v>15</v>
      </c>
      <c r="B5" s="32"/>
      <c r="C5" s="32"/>
      <c r="D5" s="32"/>
      <c r="E5" s="32"/>
      <c r="F5" s="32"/>
      <c r="G5" s="32"/>
      <c r="H5" s="32"/>
      <c r="I5" s="32"/>
      <c r="J5" s="32"/>
      <c r="K5" s="32"/>
      <c r="L5" s="32"/>
      <c r="M5" s="32"/>
      <c r="N5" s="32"/>
      <c r="O5" s="32"/>
      <c r="P5" s="32"/>
      <c r="Q5" s="32"/>
      <c r="R5" s="32"/>
      <c r="S5" s="47"/>
      <c r="T5" s="47"/>
      <c r="U5" s="48"/>
      <c r="V5" s="48"/>
      <c r="W5" s="32"/>
      <c r="X5" s="32"/>
      <c r="Y5" s="7"/>
    </row>
    <row r="6" spans="1:27" ht="32" customHeight="1" x14ac:dyDescent="0.2">
      <c r="A6" s="68" t="s">
        <v>16</v>
      </c>
      <c r="B6" s="68"/>
      <c r="C6" s="68"/>
      <c r="D6" s="68"/>
      <c r="E6" s="68"/>
      <c r="F6" s="68"/>
      <c r="G6" s="68"/>
      <c r="H6" s="68"/>
      <c r="I6" s="68"/>
      <c r="J6" s="68"/>
      <c r="K6" s="68"/>
      <c r="L6" s="68"/>
      <c r="M6" s="68"/>
      <c r="N6" s="68"/>
      <c r="O6" s="68"/>
      <c r="P6" s="68"/>
      <c r="Q6" s="68"/>
      <c r="R6" s="68"/>
      <c r="S6" s="68"/>
      <c r="T6" s="68"/>
      <c r="U6" s="68"/>
      <c r="V6" s="68"/>
      <c r="W6" s="68"/>
      <c r="X6" s="68"/>
      <c r="Y6" s="7"/>
    </row>
    <row r="7" spans="1:27" ht="32" customHeight="1" x14ac:dyDescent="0.2">
      <c r="A7" s="29" t="s">
        <v>17</v>
      </c>
      <c r="B7" s="29"/>
      <c r="C7" s="29"/>
      <c r="D7" s="29"/>
      <c r="E7" s="8" t="s">
        <v>18</v>
      </c>
      <c r="F7" s="40" t="s">
        <v>19</v>
      </c>
      <c r="G7" s="40"/>
      <c r="H7" s="40"/>
      <c r="I7" s="40" t="s">
        <v>20</v>
      </c>
      <c r="J7" s="40"/>
      <c r="K7" s="40"/>
      <c r="L7" s="40"/>
      <c r="M7" s="8" t="s">
        <v>18</v>
      </c>
      <c r="N7" s="61" t="s">
        <v>19</v>
      </c>
      <c r="O7" s="62"/>
      <c r="P7" s="62"/>
      <c r="Q7" s="29" t="s">
        <v>21</v>
      </c>
      <c r="R7" s="29"/>
      <c r="S7" s="29"/>
      <c r="T7" s="29"/>
      <c r="U7" s="40" t="s">
        <v>22</v>
      </c>
      <c r="V7" s="40"/>
      <c r="W7" s="40"/>
      <c r="X7" s="40"/>
      <c r="Y7" s="7"/>
    </row>
    <row r="8" spans="1:27" ht="32" customHeight="1" x14ac:dyDescent="0.2">
      <c r="A8" s="32" t="s">
        <v>23</v>
      </c>
      <c r="B8" s="32"/>
      <c r="C8" s="32"/>
      <c r="D8" s="32"/>
      <c r="F8" s="31"/>
      <c r="G8" s="31"/>
      <c r="H8" s="31"/>
      <c r="I8" s="32" t="s">
        <v>24</v>
      </c>
      <c r="J8" s="32"/>
      <c r="K8" s="32"/>
      <c r="L8" s="32"/>
      <c r="N8" s="31"/>
      <c r="O8" s="31"/>
      <c r="P8" s="31"/>
      <c r="Q8" s="32"/>
      <c r="R8" s="32"/>
      <c r="S8" s="32"/>
      <c r="T8" s="32"/>
      <c r="U8" s="63"/>
      <c r="V8" s="63"/>
      <c r="W8" s="63"/>
      <c r="X8" s="63"/>
      <c r="Y8" s="7"/>
    </row>
    <row r="9" spans="1:27" ht="32" customHeight="1" x14ac:dyDescent="0.2">
      <c r="A9" s="32" t="s">
        <v>25</v>
      </c>
      <c r="B9" s="32"/>
      <c r="C9" s="32"/>
      <c r="D9" s="32"/>
      <c r="F9" s="31"/>
      <c r="G9" s="31"/>
      <c r="H9" s="31"/>
      <c r="I9" s="57" t="s">
        <v>26</v>
      </c>
      <c r="J9" s="32"/>
      <c r="K9" s="32"/>
      <c r="L9" s="32"/>
      <c r="N9" s="31"/>
      <c r="O9" s="31"/>
      <c r="P9" s="31"/>
      <c r="Q9" s="32"/>
      <c r="R9" s="32"/>
      <c r="S9" s="32"/>
      <c r="T9" s="32"/>
      <c r="U9" s="63"/>
      <c r="V9" s="63"/>
      <c r="W9" s="63"/>
      <c r="X9" s="63"/>
      <c r="Y9" s="7"/>
    </row>
    <row r="10" spans="1:27" ht="32" customHeight="1" x14ac:dyDescent="0.2">
      <c r="A10" s="32" t="s">
        <v>27</v>
      </c>
      <c r="B10" s="32"/>
      <c r="C10" s="32"/>
      <c r="D10" s="32"/>
      <c r="F10" s="31"/>
      <c r="G10" s="31"/>
      <c r="H10" s="31"/>
      <c r="I10" s="58" t="s">
        <v>28</v>
      </c>
      <c r="J10" s="32"/>
      <c r="K10" s="32"/>
      <c r="L10" s="32"/>
      <c r="N10" s="31"/>
      <c r="O10" s="31"/>
      <c r="P10" s="31"/>
      <c r="Q10" s="32"/>
      <c r="R10" s="32"/>
      <c r="S10" s="32"/>
      <c r="T10" s="32"/>
      <c r="U10" s="63"/>
      <c r="V10" s="63"/>
      <c r="W10" s="63"/>
      <c r="X10" s="63"/>
      <c r="Y10" s="7"/>
    </row>
    <row r="11" spans="1:27" ht="32" customHeight="1" x14ac:dyDescent="0.2">
      <c r="A11" s="32" t="s">
        <v>29</v>
      </c>
      <c r="B11" s="32"/>
      <c r="C11" s="32"/>
      <c r="D11" s="32"/>
      <c r="F11" s="31"/>
      <c r="G11" s="31"/>
      <c r="H11" s="31"/>
      <c r="I11" s="32" t="s">
        <v>30</v>
      </c>
      <c r="J11" s="32"/>
      <c r="K11" s="32"/>
      <c r="L11" s="32"/>
      <c r="N11" s="31"/>
      <c r="O11" s="31"/>
      <c r="P11" s="31"/>
      <c r="Q11" s="32"/>
      <c r="R11" s="32"/>
      <c r="S11" s="32"/>
      <c r="T11" s="32"/>
      <c r="U11" s="63"/>
      <c r="V11" s="63"/>
      <c r="W11" s="63"/>
      <c r="X11" s="63"/>
      <c r="Y11" s="7"/>
      <c r="Z11" s="18"/>
      <c r="AA11" s="18"/>
    </row>
    <row r="12" spans="1:27" ht="36" customHeight="1" x14ac:dyDescent="0.2">
      <c r="A12" s="32" t="s">
        <v>31</v>
      </c>
      <c r="B12" s="32"/>
      <c r="C12" s="32"/>
      <c r="D12" s="32"/>
      <c r="F12" s="31"/>
      <c r="G12" s="31"/>
      <c r="H12" s="31"/>
      <c r="I12" s="59" t="s">
        <v>401</v>
      </c>
      <c r="J12" s="60"/>
      <c r="K12" s="60"/>
      <c r="L12" s="60"/>
      <c r="M12" t="e">
        <f>INDEX(List!$A$30:$A$33, MATCH(Z12,List!$B$30:$B$33,0))</f>
        <v>#N/A</v>
      </c>
      <c r="N12" s="31"/>
      <c r="O12" s="31"/>
      <c r="P12" s="31"/>
      <c r="Q12" s="31" t="s">
        <v>32</v>
      </c>
      <c r="R12" s="31"/>
      <c r="S12" s="31"/>
      <c r="T12" s="31"/>
      <c r="U12" s="31" t="s">
        <v>33</v>
      </c>
      <c r="V12" s="31"/>
      <c r="W12" s="31"/>
      <c r="X12" s="31"/>
      <c r="Y12" s="7"/>
      <c r="Z12" s="18" t="e">
        <f>MAX(VLOOKUP($M$8,List!A30:B33,2,FALSE), VLOOKUP($M$9,List!A30:B33,2,FALSE),VLOOKUP($M$10,List!A30:B33,2,FALSE),VLOOKUP($M$11,List!A30:B33,2,FALSE))</f>
        <v>#N/A</v>
      </c>
      <c r="AA12" s="18" t="e">
        <f>IF(Z12&lt;1,1,Z12)</f>
        <v>#N/A</v>
      </c>
    </row>
    <row r="13" spans="1:27" ht="32" customHeight="1" x14ac:dyDescent="0.2">
      <c r="A13" s="53" t="s">
        <v>399</v>
      </c>
      <c r="B13" s="54"/>
      <c r="C13" s="54"/>
      <c r="D13" s="54"/>
      <c r="E13" t="e">
        <f>INDEX(List!$A$30:$A$33, MATCH(Z13,List!$B$30:$B$33,0))</f>
        <v>#N/A</v>
      </c>
      <c r="F13" s="31"/>
      <c r="G13" s="31"/>
      <c r="H13" s="31"/>
      <c r="I13" s="49"/>
      <c r="J13" s="49"/>
      <c r="K13" s="49"/>
      <c r="L13" s="49"/>
      <c r="M13" s="16"/>
      <c r="N13" s="49"/>
      <c r="O13" s="49"/>
      <c r="P13" s="49"/>
      <c r="Q13" s="31"/>
      <c r="R13" s="31"/>
      <c r="S13" s="31"/>
      <c r="T13" s="31"/>
      <c r="U13" s="31"/>
      <c r="V13" s="31"/>
      <c r="W13" s="31"/>
      <c r="X13" s="31"/>
      <c r="Y13" s="7"/>
      <c r="Z13" s="18" t="e">
        <f>MAX(VLOOKUP($E$8,List!A30:B33,2,FALSE), VLOOKUP($E$9,List!A30:B33,2,FALSE))</f>
        <v>#N/A</v>
      </c>
      <c r="AA13" s="18" t="e">
        <f>IF(Z13&lt;1,1,Z13)</f>
        <v>#N/A</v>
      </c>
    </row>
    <row r="14" spans="1:27" ht="32" customHeight="1" x14ac:dyDescent="0.2">
      <c r="A14" s="53" t="s">
        <v>400</v>
      </c>
      <c r="B14" s="53"/>
      <c r="C14" s="53"/>
      <c r="D14" s="53"/>
      <c r="E14" t="e">
        <f>INDEX(List!$A$30:$A$33, MATCH(AA14,List!$B$30:$B$33,0))</f>
        <v>#N/A</v>
      </c>
      <c r="F14" s="31"/>
      <c r="G14" s="31"/>
      <c r="H14" s="31"/>
      <c r="I14" s="50"/>
      <c r="J14" s="50"/>
      <c r="K14" s="50"/>
      <c r="L14" s="50"/>
      <c r="M14" s="17"/>
      <c r="N14" s="49"/>
      <c r="O14" s="49"/>
      <c r="P14" s="49"/>
      <c r="Q14" s="31"/>
      <c r="R14" s="31"/>
      <c r="S14" s="31"/>
      <c r="T14" s="31"/>
      <c r="U14" s="31"/>
      <c r="V14" s="31"/>
      <c r="W14" s="31"/>
      <c r="X14" s="31"/>
      <c r="Y14" s="7"/>
      <c r="Z14" s="18" t="e">
        <f>ROUND(AVERAGE(VLOOKUP($E$10,List!A30:B33,2,FALSE), VLOOKUP($E$11,List!A30:B33,2,FALSE),VLOOKUP($E$12,List!A30:B33,2,FALSE)),0)</f>
        <v>#N/A</v>
      </c>
      <c r="AA14" s="18" t="e">
        <f>IF(AND(Z14&lt;1,Z14&gt;0),1,Z14)</f>
        <v>#N/A</v>
      </c>
    </row>
    <row r="15" spans="1:27" ht="120" customHeight="1" x14ac:dyDescent="0.25">
      <c r="A15" s="51" t="s">
        <v>405</v>
      </c>
      <c r="B15" s="52"/>
      <c r="C15" s="52"/>
      <c r="D15" s="52"/>
      <c r="E15" s="52"/>
      <c r="F15" s="52"/>
      <c r="G15" s="52"/>
      <c r="H15" s="52"/>
      <c r="I15" s="52"/>
      <c r="J15" s="52"/>
      <c r="K15" s="52"/>
      <c r="L15" s="52"/>
      <c r="M15" s="52"/>
      <c r="N15" s="52"/>
      <c r="O15" s="52"/>
      <c r="P15" s="52"/>
      <c r="Q15" s="52"/>
      <c r="R15" s="52"/>
      <c r="S15" s="52"/>
      <c r="T15" s="52"/>
      <c r="U15" s="52"/>
      <c r="V15" s="52"/>
      <c r="W15" s="52"/>
      <c r="X15" s="52"/>
      <c r="Y15" s="7"/>
    </row>
    <row r="16" spans="1:27" ht="32" customHeight="1" x14ac:dyDescent="0.2">
      <c r="A16" s="41" t="s">
        <v>34</v>
      </c>
      <c r="B16" s="41"/>
      <c r="C16" s="41"/>
      <c r="D16" s="41"/>
      <c r="E16" s="41"/>
      <c r="F16" s="41"/>
      <c r="G16" s="41"/>
      <c r="H16" s="41"/>
      <c r="I16" s="41"/>
      <c r="J16" s="41"/>
      <c r="K16" s="41"/>
      <c r="L16" s="41"/>
      <c r="M16" s="41"/>
      <c r="N16" s="41"/>
      <c r="O16" s="41"/>
      <c r="P16" s="41"/>
      <c r="Q16" s="41"/>
      <c r="R16" s="41"/>
      <c r="S16" s="41"/>
      <c r="T16" s="41"/>
      <c r="U16" s="41"/>
      <c r="V16" s="41"/>
      <c r="W16" s="41"/>
      <c r="X16" s="41"/>
      <c r="Y16" s="7"/>
    </row>
    <row r="17" spans="1:25" ht="32" customHeight="1" x14ac:dyDescent="0.2">
      <c r="A17" s="55" t="s">
        <v>35</v>
      </c>
      <c r="B17" s="56"/>
      <c r="C17" s="56"/>
      <c r="D17" s="56"/>
      <c r="E17" s="40" t="s">
        <v>7</v>
      </c>
      <c r="F17" s="40"/>
      <c r="G17" s="40"/>
      <c r="H17" s="40"/>
      <c r="I17" s="40"/>
      <c r="J17" s="40"/>
      <c r="K17" s="40"/>
      <c r="L17" s="40"/>
      <c r="M17" s="40" t="s">
        <v>36</v>
      </c>
      <c r="N17" s="40"/>
      <c r="O17" s="40"/>
      <c r="P17" s="40"/>
      <c r="Q17" s="40"/>
      <c r="R17" s="40"/>
      <c r="S17" s="29" t="s">
        <v>9</v>
      </c>
      <c r="T17" s="29"/>
      <c r="U17" s="29" t="s">
        <v>10</v>
      </c>
      <c r="V17" s="29"/>
      <c r="W17" s="29"/>
      <c r="X17" s="29"/>
      <c r="Y17" s="7"/>
    </row>
    <row r="18" spans="1:25" ht="32" customHeight="1" x14ac:dyDescent="0.2">
      <c r="A18" s="32" t="s">
        <v>11</v>
      </c>
      <c r="B18" s="32"/>
      <c r="C18" s="32"/>
      <c r="D18" s="32"/>
      <c r="E18" s="32"/>
      <c r="F18" s="32"/>
      <c r="G18" s="32"/>
      <c r="H18" s="32"/>
      <c r="I18" s="32"/>
      <c r="J18" s="32"/>
      <c r="K18" s="32"/>
      <c r="L18" s="32"/>
      <c r="M18" s="32"/>
      <c r="N18" s="32"/>
      <c r="O18" s="32"/>
      <c r="P18" s="32"/>
      <c r="Q18" s="32"/>
      <c r="R18" s="32"/>
      <c r="S18" s="46" t="s">
        <v>12</v>
      </c>
      <c r="T18" s="46"/>
      <c r="U18" s="46" t="s">
        <v>37</v>
      </c>
      <c r="V18" s="46"/>
      <c r="W18" s="46" t="s">
        <v>14</v>
      </c>
      <c r="X18" s="46"/>
      <c r="Y18" s="7"/>
    </row>
    <row r="19" spans="1:25" ht="32" customHeight="1" x14ac:dyDescent="0.2">
      <c r="A19" s="32" t="s">
        <v>15</v>
      </c>
      <c r="B19" s="32"/>
      <c r="C19" s="32"/>
      <c r="D19" s="32"/>
      <c r="E19" s="32"/>
      <c r="F19" s="32"/>
      <c r="G19" s="32"/>
      <c r="H19" s="32"/>
      <c r="I19" s="32"/>
      <c r="J19" s="32"/>
      <c r="K19" s="32"/>
      <c r="L19" s="32"/>
      <c r="M19" s="32"/>
      <c r="N19" s="32"/>
      <c r="O19" s="32"/>
      <c r="P19" s="32"/>
      <c r="Q19" s="32"/>
      <c r="R19" s="32"/>
      <c r="S19" s="47"/>
      <c r="T19" s="47"/>
      <c r="U19" s="48"/>
      <c r="V19" s="48"/>
      <c r="W19" s="31"/>
      <c r="X19" s="31"/>
      <c r="Y19" s="7"/>
    </row>
    <row r="20" spans="1:25" ht="32" customHeight="1" x14ac:dyDescent="0.2">
      <c r="A20" s="41" t="s">
        <v>39</v>
      </c>
      <c r="B20" s="41"/>
      <c r="C20" s="41"/>
      <c r="D20" s="41"/>
      <c r="E20" s="41"/>
      <c r="F20" s="41"/>
      <c r="G20" s="41"/>
      <c r="H20" s="41"/>
      <c r="I20" s="41"/>
      <c r="J20" s="41"/>
      <c r="K20" s="41"/>
      <c r="L20" s="41"/>
      <c r="M20" s="41"/>
      <c r="N20" s="41"/>
      <c r="O20" s="41"/>
      <c r="P20" s="41"/>
      <c r="Q20" s="41"/>
      <c r="R20" s="41"/>
      <c r="S20" s="41"/>
      <c r="T20" s="41"/>
      <c r="U20" s="41"/>
      <c r="V20" s="41"/>
      <c r="W20" s="41"/>
      <c r="X20" s="41"/>
      <c r="Y20" s="7"/>
    </row>
    <row r="21" spans="1:25" ht="32" customHeight="1" x14ac:dyDescent="0.2">
      <c r="A21" s="40" t="s">
        <v>40</v>
      </c>
      <c r="B21" s="40"/>
      <c r="C21" s="40"/>
      <c r="D21" s="40"/>
      <c r="E21" s="40" t="s">
        <v>41</v>
      </c>
      <c r="F21" s="40"/>
      <c r="G21" s="40"/>
      <c r="H21" s="40"/>
      <c r="I21" s="40"/>
      <c r="J21" s="40"/>
      <c r="K21" s="40"/>
      <c r="L21" s="40"/>
      <c r="M21" s="40"/>
      <c r="N21" s="40"/>
      <c r="O21" s="40"/>
      <c r="P21" s="40"/>
      <c r="Q21" s="40"/>
      <c r="R21" s="40"/>
      <c r="S21" s="40"/>
      <c r="T21" s="40"/>
      <c r="U21" s="40"/>
      <c r="V21" s="40"/>
      <c r="W21" s="40"/>
      <c r="X21" s="40"/>
      <c r="Y21" s="7"/>
    </row>
    <row r="22" spans="1:25" ht="32" customHeight="1" x14ac:dyDescent="0.2">
      <c r="A22" s="32"/>
      <c r="B22" s="32"/>
      <c r="C22" s="32"/>
      <c r="D22" s="32"/>
      <c r="E22" s="44" t="s">
        <v>42</v>
      </c>
      <c r="F22" s="44"/>
      <c r="G22" s="44" t="s">
        <v>43</v>
      </c>
      <c r="H22" s="44"/>
      <c r="I22" s="44" t="s">
        <v>44</v>
      </c>
      <c r="J22" s="44"/>
      <c r="K22" s="44" t="s">
        <v>45</v>
      </c>
      <c r="L22" s="44"/>
      <c r="M22" s="44" t="s">
        <v>46</v>
      </c>
      <c r="N22" s="44"/>
      <c r="O22" s="44" t="s">
        <v>47</v>
      </c>
      <c r="P22" s="44"/>
      <c r="Q22" s="44" t="s">
        <v>48</v>
      </c>
      <c r="R22" s="44"/>
      <c r="S22" s="44" t="s">
        <v>49</v>
      </c>
      <c r="T22" s="44"/>
      <c r="U22" s="44" t="s">
        <v>50</v>
      </c>
      <c r="V22" s="44"/>
      <c r="W22" s="44" t="s">
        <v>51</v>
      </c>
      <c r="X22" s="44"/>
      <c r="Y22" s="7"/>
    </row>
    <row r="23" spans="1:25" ht="32" customHeight="1" x14ac:dyDescent="0.2">
      <c r="A23" s="45"/>
      <c r="B23" s="45"/>
      <c r="C23" s="45"/>
      <c r="D23" s="45"/>
      <c r="E23" s="32"/>
      <c r="F23" s="32"/>
      <c r="G23" s="32"/>
      <c r="H23" s="32"/>
      <c r="I23" s="32"/>
      <c r="J23" s="32"/>
      <c r="K23" s="32"/>
      <c r="L23" s="32"/>
      <c r="M23" s="32"/>
      <c r="N23" s="32"/>
      <c r="O23" s="31"/>
      <c r="P23" s="31"/>
      <c r="Q23" s="31"/>
      <c r="R23" s="31"/>
      <c r="S23" s="31"/>
      <c r="T23" s="31"/>
      <c r="U23" s="31"/>
      <c r="V23" s="31"/>
      <c r="W23" s="31"/>
      <c r="X23" s="31"/>
      <c r="Y23" s="7"/>
    </row>
    <row r="24" spans="1:25" ht="32" customHeight="1" x14ac:dyDescent="0.2">
      <c r="A24" s="45"/>
      <c r="B24" s="45"/>
      <c r="C24" s="45"/>
      <c r="D24" s="45"/>
      <c r="E24" s="32" t="e" cm="1">
        <f t="array" ref="E24">_xlfn.IFS(E23="Pass", "Proceed with assessment", E23="Partial", "Pause assessment", E23="Fail", "Stop assessment", E23="Not Applicable", "Proceed with assessment")</f>
        <v>#N/A</v>
      </c>
      <c r="F24" s="32"/>
      <c r="G24" s="32" t="e" cm="1">
        <f t="array" ref="G24">_xlfn.IFS(G23="Pass", "Proceed with assessment", G23="Partial", "Pause assessment", G23="Fail", "Stop assessment", G23="Not Applicable", "Proceed with assessment")</f>
        <v>#N/A</v>
      </c>
      <c r="H24" s="32"/>
      <c r="I24" s="32" t="e" cm="1">
        <f t="array" ref="I24">_xlfn.IFS(I23="Pass", "Proceed with assessment", I23="Partial", "Pause assessment", I23="Fail", "Stop assessment", I23="Not Applicable", "Proceed with asessment")</f>
        <v>#N/A</v>
      </c>
      <c r="J24" s="32"/>
      <c r="K24" s="32" t="e" cm="1">
        <f t="array" ref="K24">_xlfn.IFS(K23="Pass", "Proceed with assessment", K23="Partial", "Pause assessment", K23="Fail", "Stop assessment", K23="Not Applicable", "Proceed with assessment")</f>
        <v>#N/A</v>
      </c>
      <c r="L24" s="32"/>
      <c r="M24" s="32" t="e" cm="1">
        <f t="array" ref="M24">_xlfn.IFS(M23="Pass", "Proceed with assessment", M23="Partial", "Pause assessment", M23="Fail", "Stop assessment", M23="Not Applicable", "Proceed with assessment")</f>
        <v>#N/A</v>
      </c>
      <c r="N24" s="32"/>
      <c r="O24" s="32" t="e" cm="1">
        <f t="array" ref="O24">_xlfn.IFS(O23="Pass", "Proceed with assessment", O23="Partial", "Pause assessment", O23="Fail", "Stop assessment", O23="Not Applicable", "Proceed with assessment")</f>
        <v>#N/A</v>
      </c>
      <c r="P24" s="32"/>
      <c r="Q24" s="32" t="e" cm="1">
        <f t="array" ref="Q24">_xlfn.IFS(Q23="Pass","Proceed with assessment",Q23="Partial","Pause assessment",Q23="Fail","Stop assessment",Q23="Not Applicable","Proceed with assessment")</f>
        <v>#N/A</v>
      </c>
      <c r="R24" s="32"/>
      <c r="S24" s="31" t="e" cm="1">
        <f t="array" ref="S24">_xlfn.IFS(S23="Pass", "Proceed with assessment", S23="Partial", "Pause assessment", S23="Fail", "Stop assessment", S23="Not Applicable", "Proceed with assessment")</f>
        <v>#N/A</v>
      </c>
      <c r="T24" s="31"/>
      <c r="U24" s="32" t="e" cm="1">
        <f t="array" ref="U24">_xlfn.IFS(U23="Pass", "Proceed with assessment", U23="Partial", "Pause assessment", U23="Fail", "Stop assessment", U23="Not Applicable", "Proceed with assessment")</f>
        <v>#N/A</v>
      </c>
      <c r="V24" s="32"/>
      <c r="W24" s="32" t="e" cm="1">
        <f t="array" ref="W24">_xlfn.IFS(W23="Pass", "Proceed with assessment", W23="Partial", "Pause assessment", W23="Fail", "Stop assessment", W23="Not Applicable", "Proceed with assessment")</f>
        <v>#N/A</v>
      </c>
      <c r="X24" s="32"/>
      <c r="Y24" s="7"/>
    </row>
    <row r="25" spans="1:25" ht="32" customHeight="1" x14ac:dyDescent="0.2">
      <c r="A25" s="68" t="s">
        <v>52</v>
      </c>
      <c r="B25" s="68"/>
      <c r="C25" s="68"/>
      <c r="D25" s="68"/>
      <c r="E25" s="68"/>
      <c r="F25" s="68"/>
      <c r="G25" s="68"/>
      <c r="H25" s="68"/>
      <c r="I25" s="68"/>
      <c r="J25" s="68"/>
      <c r="K25" s="68"/>
      <c r="L25" s="68"/>
      <c r="M25" s="68"/>
      <c r="N25" s="68"/>
      <c r="O25" s="68"/>
      <c r="P25" s="68"/>
      <c r="Q25" s="68"/>
      <c r="R25" s="68"/>
      <c r="S25" s="68"/>
      <c r="T25" s="68"/>
      <c r="U25" s="68"/>
      <c r="V25" s="68"/>
      <c r="W25" s="68"/>
      <c r="X25" s="68"/>
      <c r="Y25" s="7"/>
    </row>
    <row r="26" spans="1:25" ht="32" customHeight="1" x14ac:dyDescent="0.2">
      <c r="A26" s="29" t="s">
        <v>53</v>
      </c>
      <c r="B26" s="29"/>
      <c r="C26" s="29"/>
      <c r="D26" s="29"/>
      <c r="E26" s="29"/>
      <c r="F26" s="8" t="s">
        <v>18</v>
      </c>
      <c r="G26" s="29" t="s">
        <v>54</v>
      </c>
      <c r="H26" s="29"/>
      <c r="I26" s="29"/>
      <c r="J26" s="29"/>
      <c r="K26" s="29"/>
      <c r="L26" s="8" t="s">
        <v>18</v>
      </c>
      <c r="M26" s="29" t="s">
        <v>55</v>
      </c>
      <c r="N26" s="29"/>
      <c r="O26" s="29"/>
      <c r="P26" s="29"/>
      <c r="Q26" s="29"/>
      <c r="R26" s="8" t="s">
        <v>18</v>
      </c>
      <c r="S26" s="29" t="s">
        <v>56</v>
      </c>
      <c r="T26" s="29"/>
      <c r="U26" s="29"/>
      <c r="V26" s="29"/>
      <c r="W26" s="29"/>
      <c r="X26" s="8" t="s">
        <v>18</v>
      </c>
      <c r="Y26" s="7"/>
    </row>
    <row r="27" spans="1:25" ht="32" customHeight="1" x14ac:dyDescent="0.2">
      <c r="A27" s="31" t="s">
        <v>57</v>
      </c>
      <c r="B27" s="31"/>
      <c r="C27" s="31"/>
      <c r="D27" s="31"/>
      <c r="E27" s="31"/>
      <c r="G27" s="32" t="s">
        <v>58</v>
      </c>
      <c r="H27" s="32"/>
      <c r="I27" s="32"/>
      <c r="J27" s="32"/>
      <c r="K27" s="32"/>
      <c r="M27" s="32" t="s">
        <v>59</v>
      </c>
      <c r="N27" s="32"/>
      <c r="O27" s="32"/>
      <c r="P27" s="32"/>
      <c r="Q27" s="32"/>
      <c r="S27" s="31" t="s">
        <v>60</v>
      </c>
      <c r="T27" s="31"/>
      <c r="U27" s="31"/>
      <c r="V27" s="31"/>
      <c r="W27" s="31"/>
      <c r="Y27" s="7"/>
    </row>
    <row r="28" spans="1:25" ht="32" customHeight="1" x14ac:dyDescent="0.2">
      <c r="A28" s="32" t="s">
        <v>61</v>
      </c>
      <c r="B28" s="32"/>
      <c r="C28" s="32"/>
      <c r="D28" s="32"/>
      <c r="E28" s="32"/>
      <c r="G28" s="32" t="s">
        <v>62</v>
      </c>
      <c r="H28" s="32"/>
      <c r="I28" s="32"/>
      <c r="J28" s="32"/>
      <c r="K28" s="32"/>
      <c r="M28" s="32" t="s">
        <v>63</v>
      </c>
      <c r="N28" s="32"/>
      <c r="O28" s="32"/>
      <c r="P28" s="32"/>
      <c r="Q28" s="32"/>
      <c r="S28" s="31" t="s">
        <v>64</v>
      </c>
      <c r="T28" s="31"/>
      <c r="U28" s="31"/>
      <c r="V28" s="31"/>
      <c r="W28" s="31"/>
      <c r="Y28" s="7"/>
    </row>
    <row r="29" spans="1:25" ht="32" customHeight="1" x14ac:dyDescent="0.2">
      <c r="A29" s="31" t="s">
        <v>65</v>
      </c>
      <c r="B29" s="31"/>
      <c r="C29" s="31"/>
      <c r="D29" s="31"/>
      <c r="E29" s="31"/>
      <c r="G29" s="31" t="s">
        <v>66</v>
      </c>
      <c r="H29" s="31"/>
      <c r="I29" s="31"/>
      <c r="J29" s="31"/>
      <c r="K29" s="31"/>
      <c r="M29" s="32" t="s">
        <v>67</v>
      </c>
      <c r="N29" s="32"/>
      <c r="O29" s="32"/>
      <c r="P29" s="32"/>
      <c r="Q29" s="32"/>
      <c r="S29" s="32" t="s">
        <v>68</v>
      </c>
      <c r="T29" s="32"/>
      <c r="U29" s="32"/>
      <c r="V29" s="32"/>
      <c r="W29" s="32"/>
      <c r="Y29" s="7"/>
    </row>
    <row r="30" spans="1:25" ht="32" customHeight="1" x14ac:dyDescent="0.2">
      <c r="A30" s="31" t="s">
        <v>69</v>
      </c>
      <c r="B30" s="31"/>
      <c r="C30" s="31"/>
      <c r="D30" s="31"/>
      <c r="E30" s="31"/>
      <c r="G30" s="31" t="s">
        <v>70</v>
      </c>
      <c r="H30" s="31"/>
      <c r="I30" s="31"/>
      <c r="J30" s="31"/>
      <c r="K30" s="31"/>
      <c r="M30" s="32" t="s">
        <v>71</v>
      </c>
      <c r="N30" s="32"/>
      <c r="O30" s="32"/>
      <c r="P30" s="32"/>
      <c r="Q30" s="32"/>
      <c r="S30" s="32" t="s">
        <v>72</v>
      </c>
      <c r="T30" s="32"/>
      <c r="U30" s="32"/>
      <c r="V30" s="32"/>
      <c r="W30" s="32"/>
      <c r="Y30" s="7"/>
    </row>
    <row r="31" spans="1:25" ht="32" customHeight="1" x14ac:dyDescent="0.2">
      <c r="A31" s="31" t="s">
        <v>73</v>
      </c>
      <c r="B31" s="31"/>
      <c r="C31" s="31"/>
      <c r="D31" s="31"/>
      <c r="E31" s="31"/>
      <c r="G31" s="32" t="s">
        <v>74</v>
      </c>
      <c r="H31" s="32"/>
      <c r="I31" s="32"/>
      <c r="J31" s="32"/>
      <c r="K31" s="32"/>
      <c r="M31" s="32" t="s">
        <v>75</v>
      </c>
      <c r="N31" s="32"/>
      <c r="O31" s="32"/>
      <c r="P31" s="32"/>
      <c r="Q31" s="32"/>
      <c r="S31" s="32" t="s">
        <v>76</v>
      </c>
      <c r="T31" s="32"/>
      <c r="U31" s="32"/>
      <c r="V31" s="32"/>
      <c r="W31" s="32"/>
      <c r="Y31" s="7"/>
    </row>
    <row r="32" spans="1:25" ht="32" customHeight="1" x14ac:dyDescent="0.2">
      <c r="A32" s="31" t="s">
        <v>77</v>
      </c>
      <c r="B32" s="31"/>
      <c r="C32" s="31"/>
      <c r="D32" s="31"/>
      <c r="E32" s="31"/>
      <c r="G32" s="31" t="s">
        <v>78</v>
      </c>
      <c r="H32" s="31"/>
      <c r="I32" s="31"/>
      <c r="J32" s="31"/>
      <c r="K32" s="31"/>
      <c r="M32" s="32" t="s">
        <v>79</v>
      </c>
      <c r="N32" s="32"/>
      <c r="O32" s="32"/>
      <c r="P32" s="32"/>
      <c r="Q32" s="32"/>
      <c r="S32" s="32" t="s">
        <v>80</v>
      </c>
      <c r="T32" s="32"/>
      <c r="U32" s="32"/>
      <c r="V32" s="32"/>
      <c r="W32" s="32"/>
      <c r="Y32" s="7"/>
    </row>
    <row r="33" spans="1:25" ht="32" customHeight="1" x14ac:dyDescent="0.2">
      <c r="A33" s="31" t="s">
        <v>81</v>
      </c>
      <c r="B33" s="31"/>
      <c r="C33" s="31"/>
      <c r="D33" s="31"/>
      <c r="E33" s="31"/>
      <c r="G33" s="31" t="s">
        <v>82</v>
      </c>
      <c r="H33" s="31"/>
      <c r="I33" s="31"/>
      <c r="J33" s="31"/>
      <c r="K33" s="31"/>
      <c r="M33" s="32" t="s">
        <v>83</v>
      </c>
      <c r="N33" s="32"/>
      <c r="O33" s="32"/>
      <c r="P33" s="32"/>
      <c r="Q33" s="32"/>
      <c r="S33" s="32" t="s">
        <v>84</v>
      </c>
      <c r="T33" s="32"/>
      <c r="U33" s="32"/>
      <c r="V33" s="32"/>
      <c r="W33" s="32"/>
      <c r="Y33" s="7"/>
    </row>
    <row r="34" spans="1:25" ht="32" customHeight="1" x14ac:dyDescent="0.2">
      <c r="A34" s="31" t="s">
        <v>85</v>
      </c>
      <c r="B34" s="31"/>
      <c r="C34" s="31"/>
      <c r="D34" s="31"/>
      <c r="E34" s="31"/>
      <c r="G34" s="31" t="s">
        <v>86</v>
      </c>
      <c r="H34" s="31"/>
      <c r="I34" s="31"/>
      <c r="J34" s="31"/>
      <c r="K34" s="31"/>
      <c r="M34" s="45"/>
      <c r="N34" s="45"/>
      <c r="O34" s="45"/>
      <c r="P34" s="45"/>
      <c r="Q34" s="45"/>
      <c r="R34" s="16"/>
      <c r="S34" s="31" t="s">
        <v>87</v>
      </c>
      <c r="T34" s="31"/>
      <c r="U34" s="31"/>
      <c r="V34" s="31"/>
      <c r="W34" s="31"/>
      <c r="Y34" s="7"/>
    </row>
    <row r="35" spans="1:25" ht="32" customHeight="1" x14ac:dyDescent="0.2">
      <c r="A35" s="32" t="s">
        <v>88</v>
      </c>
      <c r="B35" s="32"/>
      <c r="C35" s="32"/>
      <c r="D35" s="32"/>
      <c r="E35" s="32"/>
      <c r="G35" s="31" t="s">
        <v>89</v>
      </c>
      <c r="H35" s="31"/>
      <c r="I35" s="31"/>
      <c r="J35" s="31"/>
      <c r="K35" s="31"/>
      <c r="M35" s="45"/>
      <c r="N35" s="45"/>
      <c r="O35" s="45"/>
      <c r="P35" s="45"/>
      <c r="Q35" s="45"/>
      <c r="R35" s="16"/>
      <c r="S35" s="32" t="s">
        <v>90</v>
      </c>
      <c r="T35" s="32"/>
      <c r="U35" s="32"/>
      <c r="V35" s="32"/>
      <c r="W35" s="32"/>
      <c r="Y35" s="7"/>
    </row>
    <row r="36" spans="1:25" ht="32" customHeight="1" x14ac:dyDescent="0.2">
      <c r="A36" s="68" t="s">
        <v>91</v>
      </c>
      <c r="B36" s="68"/>
      <c r="C36" s="68"/>
      <c r="D36" s="68"/>
      <c r="E36" s="68"/>
      <c r="F36" s="68"/>
      <c r="G36" s="68"/>
      <c r="H36" s="68"/>
      <c r="I36" s="68"/>
      <c r="J36" s="68"/>
      <c r="K36" s="68"/>
      <c r="L36" s="68"/>
      <c r="M36" s="68"/>
      <c r="N36" s="68"/>
      <c r="O36" s="68"/>
      <c r="P36" s="68"/>
      <c r="Q36" s="68"/>
      <c r="R36" s="68"/>
      <c r="S36" s="68"/>
      <c r="T36" s="68"/>
      <c r="U36" s="68"/>
      <c r="V36" s="68"/>
      <c r="W36" s="68"/>
      <c r="X36" s="68"/>
      <c r="Y36" s="7"/>
    </row>
    <row r="37" spans="1:25" ht="32" customHeight="1" x14ac:dyDescent="0.2">
      <c r="A37" s="29" t="s">
        <v>92</v>
      </c>
      <c r="B37" s="29"/>
      <c r="C37" s="29"/>
      <c r="D37" s="29"/>
      <c r="E37" s="29"/>
      <c r="F37" s="29"/>
      <c r="G37" s="29"/>
      <c r="H37" s="29"/>
      <c r="I37" s="29"/>
      <c r="J37" s="29"/>
      <c r="K37" s="29"/>
      <c r="L37" s="29"/>
      <c r="M37" s="29" t="s">
        <v>93</v>
      </c>
      <c r="N37" s="29"/>
      <c r="O37" s="29"/>
      <c r="P37" s="29"/>
      <c r="Q37" s="29"/>
      <c r="R37" s="29"/>
      <c r="S37" s="8"/>
      <c r="T37" s="29" t="s">
        <v>94</v>
      </c>
      <c r="U37" s="29"/>
      <c r="V37" s="29"/>
      <c r="W37" s="29"/>
      <c r="X37" s="29"/>
      <c r="Y37" s="7"/>
    </row>
    <row r="38" spans="1:25" x14ac:dyDescent="0.2">
      <c r="A38" s="74" t="s">
        <v>17</v>
      </c>
      <c r="B38" s="74"/>
      <c r="C38" s="74"/>
      <c r="D38" s="1"/>
      <c r="G38" s="74" t="s">
        <v>20</v>
      </c>
      <c r="H38" s="74"/>
      <c r="I38" s="74"/>
      <c r="L38" s="1"/>
      <c r="M38" s="31"/>
      <c r="N38" s="31"/>
      <c r="O38" s="31"/>
      <c r="S38" s="31"/>
      <c r="T38" s="31"/>
      <c r="U38" s="31"/>
      <c r="Y38" s="7"/>
    </row>
    <row r="39" spans="1:25" x14ac:dyDescent="0.2">
      <c r="A39" s="71" t="s">
        <v>95</v>
      </c>
      <c r="B39" s="71"/>
      <c r="C39" s="1">
        <f>COUNTIF(E8:E12, "Low")</f>
        <v>0</v>
      </c>
      <c r="D39" s="1"/>
      <c r="G39" s="71" t="s">
        <v>95</v>
      </c>
      <c r="H39" s="71"/>
      <c r="I39" s="1">
        <f>COUNTIF(M8:M12, "Low")</f>
        <v>0</v>
      </c>
      <c r="L39" s="1"/>
      <c r="M39" s="71" t="s">
        <v>96</v>
      </c>
      <c r="N39" s="71"/>
      <c r="O39" s="1">
        <f>COUNTIF(E23:X23, "Pass")</f>
        <v>0</v>
      </c>
      <c r="S39" s="71" t="s">
        <v>97</v>
      </c>
      <c r="T39" s="71"/>
      <c r="U39" s="1">
        <f>COUNTIF(F27:X35, "Yes")</f>
        <v>0</v>
      </c>
      <c r="Y39" s="7"/>
    </row>
    <row r="40" spans="1:25" x14ac:dyDescent="0.2">
      <c r="A40" s="71" t="s">
        <v>98</v>
      </c>
      <c r="B40" s="71"/>
      <c r="C40" s="1">
        <f>COUNTIF(E8:E12, "Medium")</f>
        <v>0</v>
      </c>
      <c r="D40" s="1"/>
      <c r="G40" s="71" t="s">
        <v>98</v>
      </c>
      <c r="H40" s="71"/>
      <c r="I40" s="1">
        <f>COUNTIF(M8:M11:M11, "Medium")</f>
        <v>0</v>
      </c>
      <c r="L40" s="1"/>
      <c r="M40" s="71" t="s">
        <v>99</v>
      </c>
      <c r="N40" s="71"/>
      <c r="O40" s="1">
        <f>COUNTIF(E23:X23, "Partial")</f>
        <v>0</v>
      </c>
      <c r="S40" s="71" t="s">
        <v>100</v>
      </c>
      <c r="T40" s="71"/>
      <c r="U40" s="1">
        <f>COUNTIF(F27:X35, "No")</f>
        <v>0</v>
      </c>
      <c r="Y40" s="7"/>
    </row>
    <row r="41" spans="1:25" x14ac:dyDescent="0.2">
      <c r="A41" s="71" t="s">
        <v>101</v>
      </c>
      <c r="B41" s="71"/>
      <c r="C41" s="1">
        <f>COUNTIF(E8:E12, "High")</f>
        <v>0</v>
      </c>
      <c r="D41" s="1"/>
      <c r="G41" s="71" t="s">
        <v>101</v>
      </c>
      <c r="H41" s="71"/>
      <c r="I41" s="1">
        <f>COUNTIF(M8:M11, "High")</f>
        <v>0</v>
      </c>
      <c r="L41" s="1"/>
      <c r="M41" s="71" t="s">
        <v>102</v>
      </c>
      <c r="N41" s="71"/>
      <c r="O41" s="1">
        <f>COUNTIF(E23:X23, "Fail")</f>
        <v>0</v>
      </c>
      <c r="S41" s="71" t="s">
        <v>103</v>
      </c>
      <c r="T41" s="71"/>
      <c r="U41" s="1">
        <f>COUNTIF(F27:X35, "Somewhat")</f>
        <v>0</v>
      </c>
      <c r="Y41" s="7"/>
    </row>
    <row r="42" spans="1:25" x14ac:dyDescent="0.2">
      <c r="A42" s="31"/>
      <c r="B42" s="31"/>
      <c r="G42" s="31"/>
      <c r="H42" s="31"/>
      <c r="M42" s="67"/>
      <c r="N42" s="67"/>
      <c r="S42" s="71" t="s">
        <v>104</v>
      </c>
      <c r="T42" s="71"/>
      <c r="U42" s="1">
        <f>COUNTIF(F27:X35, "Unsure")</f>
        <v>0</v>
      </c>
      <c r="Y42" s="7"/>
    </row>
    <row r="43" spans="1:25" ht="32" customHeight="1" x14ac:dyDescent="0.2">
      <c r="A43" s="73" t="s">
        <v>399</v>
      </c>
      <c r="B43" s="73"/>
      <c r="C43" t="e">
        <f>E13</f>
        <v>#N/A</v>
      </c>
      <c r="G43" s="72" t="s">
        <v>105</v>
      </c>
      <c r="H43" s="72"/>
      <c r="I43">
        <f>M8</f>
        <v>0</v>
      </c>
      <c r="M43" s="67"/>
      <c r="N43" s="67"/>
      <c r="S43" s="31"/>
      <c r="T43" s="31"/>
      <c r="Y43" s="7"/>
    </row>
    <row r="44" spans="1:25" ht="32.25" customHeight="1" x14ac:dyDescent="0.2">
      <c r="A44" s="73" t="s">
        <v>408</v>
      </c>
      <c r="B44" s="73"/>
      <c r="C44" t="e">
        <f>E14</f>
        <v>#N/A</v>
      </c>
      <c r="G44" s="31"/>
      <c r="H44" s="31"/>
      <c r="M44" s="67"/>
      <c r="N44" s="67"/>
      <c r="S44" s="31"/>
      <c r="T44" s="31"/>
      <c r="Y44" s="7"/>
    </row>
    <row r="45" spans="1:25" x14ac:dyDescent="0.2">
      <c r="A45" s="31"/>
      <c r="B45" s="31"/>
      <c r="G45" s="31"/>
      <c r="H45" s="31"/>
      <c r="M45" s="67"/>
      <c r="N45" s="67"/>
      <c r="S45" s="31"/>
      <c r="T45" s="31"/>
      <c r="Y45" s="7"/>
    </row>
    <row r="46" spans="1:25" x14ac:dyDescent="0.2">
      <c r="A46" s="31"/>
      <c r="B46" s="31"/>
      <c r="G46" s="31"/>
      <c r="H46" s="31"/>
      <c r="M46" s="67"/>
      <c r="N46" s="67"/>
      <c r="S46" s="31"/>
      <c r="T46" s="31"/>
      <c r="Y46" s="7"/>
    </row>
    <row r="47" spans="1:25" x14ac:dyDescent="0.2">
      <c r="A47" s="31"/>
      <c r="B47" s="31"/>
      <c r="G47" s="31"/>
      <c r="H47" s="31"/>
      <c r="M47" s="67"/>
      <c r="N47" s="67"/>
      <c r="S47" s="31"/>
      <c r="T47" s="31"/>
      <c r="Y47" s="7"/>
    </row>
    <row r="48" spans="1:25" x14ac:dyDescent="0.2">
      <c r="A48" s="31"/>
      <c r="B48" s="31"/>
      <c r="G48" s="31"/>
      <c r="H48" s="31"/>
      <c r="M48" s="67"/>
      <c r="N48" s="67"/>
      <c r="S48" s="31"/>
      <c r="T48" s="31"/>
      <c r="Y48" s="7"/>
    </row>
    <row r="49" spans="1:25" x14ac:dyDescent="0.2">
      <c r="A49" s="31"/>
      <c r="B49" s="31"/>
      <c r="G49" s="31"/>
      <c r="H49" s="31"/>
      <c r="M49" s="67"/>
      <c r="N49" s="67"/>
      <c r="S49" s="31"/>
      <c r="T49" s="31"/>
      <c r="Y49" s="7"/>
    </row>
    <row r="50" spans="1:25" x14ac:dyDescent="0.2">
      <c r="A50" s="31"/>
      <c r="B50" s="31"/>
      <c r="G50" s="31"/>
      <c r="H50" s="31"/>
      <c r="M50" s="67"/>
      <c r="N50" s="67"/>
      <c r="S50" s="31"/>
      <c r="T50" s="31"/>
      <c r="Y50" s="7"/>
    </row>
    <row r="51" spans="1:25" ht="32" customHeight="1" x14ac:dyDescent="0.2">
      <c r="A51" s="68" t="s">
        <v>106</v>
      </c>
      <c r="B51" s="68"/>
      <c r="C51" s="68"/>
      <c r="D51" s="68"/>
      <c r="E51" s="68"/>
      <c r="F51" s="68"/>
      <c r="G51" s="68"/>
      <c r="H51" s="68"/>
      <c r="I51" s="68"/>
      <c r="J51" s="68"/>
      <c r="K51" s="68"/>
      <c r="L51" s="68"/>
      <c r="M51" s="68"/>
      <c r="N51" s="68"/>
      <c r="O51" s="68"/>
      <c r="P51" s="68"/>
      <c r="Q51" s="68"/>
      <c r="R51" s="68"/>
      <c r="S51" s="68"/>
      <c r="T51" s="68"/>
      <c r="U51" s="68"/>
      <c r="V51" s="68"/>
      <c r="W51" s="68"/>
      <c r="X51" s="68"/>
      <c r="Y51" s="7"/>
    </row>
    <row r="52" spans="1:25" ht="32" customHeight="1" x14ac:dyDescent="0.2">
      <c r="A52" s="29" t="s">
        <v>107</v>
      </c>
      <c r="B52" s="29"/>
      <c r="C52" s="29"/>
      <c r="D52" s="29"/>
      <c r="E52" s="29"/>
      <c r="F52" s="8" t="s">
        <v>18</v>
      </c>
      <c r="G52" s="29" t="s">
        <v>19</v>
      </c>
      <c r="H52" s="29"/>
      <c r="I52" s="29"/>
      <c r="J52" s="29"/>
      <c r="K52" s="29"/>
      <c r="L52" s="29"/>
      <c r="M52" s="29" t="s">
        <v>108</v>
      </c>
      <c r="N52" s="29"/>
      <c r="O52" s="29"/>
      <c r="P52" s="29"/>
      <c r="Q52" s="29"/>
      <c r="R52" s="8" t="s">
        <v>18</v>
      </c>
      <c r="S52" s="29" t="s">
        <v>19</v>
      </c>
      <c r="T52" s="29"/>
      <c r="U52" s="29"/>
      <c r="V52" s="29"/>
      <c r="W52" s="29"/>
      <c r="X52" s="29"/>
      <c r="Y52" s="7"/>
    </row>
    <row r="53" spans="1:25" ht="32" customHeight="1" x14ac:dyDescent="0.2">
      <c r="A53" s="32" t="s">
        <v>109</v>
      </c>
      <c r="B53" s="32"/>
      <c r="C53" s="32"/>
      <c r="D53" s="32"/>
      <c r="E53" s="32"/>
      <c r="F53" s="4"/>
      <c r="G53" s="65"/>
      <c r="H53" s="65"/>
      <c r="I53" s="65"/>
      <c r="J53" s="65"/>
      <c r="K53" s="65"/>
      <c r="L53" s="65"/>
      <c r="M53" s="63" t="s">
        <v>110</v>
      </c>
      <c r="N53" s="63"/>
      <c r="O53" s="63"/>
      <c r="P53" s="63"/>
      <c r="Q53" s="63"/>
      <c r="R53" s="6"/>
      <c r="S53" s="70"/>
      <c r="T53" s="70"/>
      <c r="U53" s="70"/>
      <c r="V53" s="70"/>
      <c r="W53" s="70"/>
      <c r="X53" s="70"/>
      <c r="Y53" s="7"/>
    </row>
    <row r="54" spans="1:25" ht="32" customHeight="1" x14ac:dyDescent="0.2">
      <c r="A54" s="32" t="s">
        <v>111</v>
      </c>
      <c r="B54" s="32"/>
      <c r="C54" s="32"/>
      <c r="D54" s="32"/>
      <c r="E54" s="32"/>
      <c r="F54" s="4"/>
      <c r="G54" s="65"/>
      <c r="H54" s="65"/>
      <c r="I54" s="65"/>
      <c r="J54" s="65"/>
      <c r="K54" s="65"/>
      <c r="L54" s="65"/>
      <c r="M54" s="66" t="s">
        <v>112</v>
      </c>
      <c r="N54" s="66"/>
      <c r="O54" s="66"/>
      <c r="P54" s="66"/>
      <c r="Q54" s="66"/>
      <c r="R54" s="6"/>
      <c r="S54" s="70"/>
      <c r="T54" s="70"/>
      <c r="U54" s="70"/>
      <c r="V54" s="70"/>
      <c r="W54" s="70"/>
      <c r="X54" s="70"/>
      <c r="Y54" s="7"/>
    </row>
    <row r="55" spans="1:25" s="3" customFormat="1" ht="32" customHeight="1" x14ac:dyDescent="0.2">
      <c r="A55" s="32" t="s">
        <v>113</v>
      </c>
      <c r="B55" s="32"/>
      <c r="C55" s="32"/>
      <c r="D55" s="32"/>
      <c r="E55" s="32"/>
      <c r="F55" s="4"/>
      <c r="G55" s="65"/>
      <c r="H55" s="65"/>
      <c r="I55" s="65"/>
      <c r="J55" s="65"/>
      <c r="K55" s="65"/>
      <c r="L55" s="65"/>
      <c r="M55" s="63" t="s">
        <v>114</v>
      </c>
      <c r="N55" s="63"/>
      <c r="O55" s="63"/>
      <c r="P55" s="63"/>
      <c r="Q55" s="63"/>
      <c r="R55" s="6"/>
      <c r="S55" s="70"/>
      <c r="T55" s="70"/>
      <c r="U55" s="70"/>
      <c r="V55" s="70"/>
      <c r="W55" s="70"/>
      <c r="X55" s="70"/>
      <c r="Y55" s="12"/>
    </row>
    <row r="56" spans="1:25" s="3" customFormat="1" ht="32" customHeight="1" x14ac:dyDescent="0.2">
      <c r="A56" s="32" t="s">
        <v>115</v>
      </c>
      <c r="B56" s="32"/>
      <c r="C56" s="32"/>
      <c r="D56" s="32"/>
      <c r="E56" s="32"/>
      <c r="F56" s="4"/>
      <c r="G56" s="65"/>
      <c r="H56" s="65"/>
      <c r="I56" s="65"/>
      <c r="J56" s="65"/>
      <c r="K56" s="65"/>
      <c r="L56" s="65"/>
      <c r="M56" s="66" t="s">
        <v>116</v>
      </c>
      <c r="N56" s="66"/>
      <c r="O56" s="66"/>
      <c r="P56" s="66"/>
      <c r="Q56" s="66"/>
      <c r="R56" s="6"/>
      <c r="S56" s="70"/>
      <c r="T56" s="70"/>
      <c r="U56" s="70"/>
      <c r="V56" s="70"/>
      <c r="W56" s="70"/>
      <c r="X56" s="70"/>
      <c r="Y56" s="12"/>
    </row>
    <row r="57" spans="1:25" s="3" customFormat="1" ht="32" customHeight="1" x14ac:dyDescent="0.2">
      <c r="A57" s="32" t="s">
        <v>117</v>
      </c>
      <c r="B57" s="32"/>
      <c r="C57" s="32"/>
      <c r="D57" s="32"/>
      <c r="E57" s="32"/>
      <c r="F57" s="4"/>
      <c r="G57" s="65"/>
      <c r="H57" s="65"/>
      <c r="I57" s="65"/>
      <c r="J57" s="65"/>
      <c r="K57" s="65"/>
      <c r="L57" s="65"/>
      <c r="M57" s="66" t="s">
        <v>118</v>
      </c>
      <c r="N57" s="66"/>
      <c r="O57" s="66"/>
      <c r="P57" s="66"/>
      <c r="Q57" s="66"/>
      <c r="R57" s="6"/>
      <c r="S57" s="70"/>
      <c r="T57" s="70"/>
      <c r="U57" s="70"/>
      <c r="V57" s="70"/>
      <c r="W57" s="70"/>
      <c r="X57" s="70"/>
      <c r="Y57" s="12"/>
    </row>
    <row r="58" spans="1:25" s="3" customFormat="1" ht="32" customHeight="1" x14ac:dyDescent="0.2">
      <c r="A58" s="32" t="s">
        <v>119</v>
      </c>
      <c r="B58" s="32"/>
      <c r="C58" s="32"/>
      <c r="D58" s="32"/>
      <c r="E58" s="32"/>
      <c r="F58" s="4"/>
      <c r="G58" s="65"/>
      <c r="H58" s="65"/>
      <c r="I58" s="65"/>
      <c r="J58" s="65"/>
      <c r="K58" s="65"/>
      <c r="L58" s="65"/>
      <c r="M58" s="63" t="s">
        <v>120</v>
      </c>
      <c r="N58" s="63"/>
      <c r="O58" s="63"/>
      <c r="P58" s="63"/>
      <c r="Q58" s="63"/>
      <c r="R58" s="6"/>
      <c r="S58" s="70"/>
      <c r="T58" s="70"/>
      <c r="U58" s="70"/>
      <c r="V58" s="70"/>
      <c r="W58" s="70"/>
      <c r="X58" s="70"/>
      <c r="Y58" s="12"/>
    </row>
    <row r="59" spans="1:25" s="3" customFormat="1" ht="32" customHeight="1" x14ac:dyDescent="0.2">
      <c r="A59" s="32" t="s">
        <v>121</v>
      </c>
      <c r="B59" s="32"/>
      <c r="C59" s="32"/>
      <c r="D59" s="32"/>
      <c r="E59" s="32"/>
      <c r="F59" s="4"/>
      <c r="G59" s="65"/>
      <c r="H59" s="65"/>
      <c r="I59" s="65"/>
      <c r="J59" s="65"/>
      <c r="K59" s="65"/>
      <c r="L59" s="65"/>
      <c r="M59" s="63" t="s">
        <v>122</v>
      </c>
      <c r="N59" s="63"/>
      <c r="O59" s="63"/>
      <c r="P59" s="63"/>
      <c r="Q59" s="63"/>
      <c r="R59" s="6"/>
      <c r="S59" s="70"/>
      <c r="T59" s="70"/>
      <c r="U59" s="70"/>
      <c r="V59" s="70"/>
      <c r="W59" s="70"/>
      <c r="X59" s="70"/>
      <c r="Y59" s="12"/>
    </row>
    <row r="60" spans="1:25" s="3" customFormat="1" ht="32" customHeight="1" x14ac:dyDescent="0.2">
      <c r="A60" s="32" t="s">
        <v>123</v>
      </c>
      <c r="B60" s="32"/>
      <c r="C60" s="32"/>
      <c r="D60" s="32"/>
      <c r="E60" s="32"/>
      <c r="F60" s="4"/>
      <c r="G60" s="65"/>
      <c r="H60" s="65"/>
      <c r="I60" s="65"/>
      <c r="J60" s="65"/>
      <c r="K60" s="65"/>
      <c r="L60" s="65"/>
      <c r="M60" s="64"/>
      <c r="N60" s="64"/>
      <c r="O60" s="64"/>
      <c r="P60" s="64"/>
      <c r="Q60" s="25"/>
      <c r="R60" s="26"/>
      <c r="S60" s="69"/>
      <c r="T60" s="69"/>
      <c r="U60" s="69"/>
      <c r="V60" s="69"/>
      <c r="W60" s="69"/>
      <c r="X60" s="69"/>
      <c r="Y60" s="12"/>
    </row>
    <row r="61" spans="1:25" s="3" customFormat="1" ht="32" customHeight="1" x14ac:dyDescent="0.2">
      <c r="A61" s="43"/>
      <c r="B61" s="43"/>
      <c r="C61" s="43"/>
      <c r="D61" s="43"/>
      <c r="E61" s="43"/>
      <c r="F61" s="43"/>
      <c r="G61" s="43"/>
      <c r="H61" s="43"/>
      <c r="I61" s="43"/>
      <c r="J61" s="43"/>
      <c r="K61" s="43"/>
      <c r="L61" s="43"/>
      <c r="M61" s="43"/>
      <c r="N61" s="43"/>
      <c r="O61" s="43"/>
      <c r="P61" s="43"/>
      <c r="Q61" s="43"/>
      <c r="R61" s="43"/>
      <c r="S61" s="43"/>
      <c r="T61" s="43"/>
      <c r="U61" s="43"/>
      <c r="V61" s="43"/>
      <c r="W61" s="43"/>
      <c r="X61" s="43"/>
      <c r="Y61" s="12"/>
    </row>
    <row r="62" spans="1:25" s="3" customFormat="1" x14ac:dyDescent="0.2">
      <c r="A62"/>
      <c r="B62"/>
      <c r="C62"/>
      <c r="D62"/>
      <c r="E62"/>
      <c r="F62"/>
      <c r="G62"/>
      <c r="H62"/>
      <c r="I62"/>
      <c r="J62"/>
      <c r="K62"/>
      <c r="L62"/>
      <c r="M62"/>
      <c r="N62"/>
      <c r="O62"/>
      <c r="P62"/>
      <c r="Q62"/>
      <c r="R62"/>
      <c r="S62"/>
      <c r="T62"/>
      <c r="U62"/>
      <c r="V62"/>
    </row>
    <row r="66" spans="1:7" x14ac:dyDescent="0.2">
      <c r="A66" s="1"/>
      <c r="B66" s="1"/>
      <c r="C66" s="1"/>
      <c r="D66" s="1"/>
      <c r="E66" s="1"/>
      <c r="F66" s="1"/>
      <c r="G66" s="1"/>
    </row>
  </sheetData>
  <mergeCells count="244">
    <mergeCell ref="A37:L37"/>
    <mergeCell ref="M37:R37"/>
    <mergeCell ref="T37:X37"/>
    <mergeCell ref="M39:N39"/>
    <mergeCell ref="M40:N40"/>
    <mergeCell ref="A31:E31"/>
    <mergeCell ref="A32:E32"/>
    <mergeCell ref="A38:C38"/>
    <mergeCell ref="A16:X16"/>
    <mergeCell ref="G38:I38"/>
    <mergeCell ref="M38:O38"/>
    <mergeCell ref="S38:U38"/>
    <mergeCell ref="O24:P24"/>
    <mergeCell ref="Q22:R22"/>
    <mergeCell ref="Q23:R23"/>
    <mergeCell ref="Q24:R24"/>
    <mergeCell ref="S22:T22"/>
    <mergeCell ref="S23:T23"/>
    <mergeCell ref="S24:T24"/>
    <mergeCell ref="S35:W35"/>
    <mergeCell ref="M35:Q35"/>
    <mergeCell ref="M32:Q32"/>
    <mergeCell ref="M28:Q28"/>
    <mergeCell ref="M29:Q29"/>
    <mergeCell ref="S39:T39"/>
    <mergeCell ref="S40:T40"/>
    <mergeCell ref="G39:H39"/>
    <mergeCell ref="G40:H40"/>
    <mergeCell ref="G41:H41"/>
    <mergeCell ref="G43:H43"/>
    <mergeCell ref="G44:H44"/>
    <mergeCell ref="A39:B39"/>
    <mergeCell ref="A40:B40"/>
    <mergeCell ref="G42:H42"/>
    <mergeCell ref="S44:T44"/>
    <mergeCell ref="S43:T43"/>
    <mergeCell ref="M41:N41"/>
    <mergeCell ref="M42:N42"/>
    <mergeCell ref="M43:N43"/>
    <mergeCell ref="S42:T42"/>
    <mergeCell ref="A41:B41"/>
    <mergeCell ref="A42:B42"/>
    <mergeCell ref="S41:T41"/>
    <mergeCell ref="A43:B43"/>
    <mergeCell ref="A44:B44"/>
    <mergeCell ref="U3:X3"/>
    <mergeCell ref="A25:X25"/>
    <mergeCell ref="S26:W26"/>
    <mergeCell ref="U22:V22"/>
    <mergeCell ref="U23:V23"/>
    <mergeCell ref="G27:K27"/>
    <mergeCell ref="G28:K28"/>
    <mergeCell ref="G29:K29"/>
    <mergeCell ref="G30:K30"/>
    <mergeCell ref="S5:T5"/>
    <mergeCell ref="A20:X20"/>
    <mergeCell ref="A3:D3"/>
    <mergeCell ref="G26:K26"/>
    <mergeCell ref="A27:E27"/>
    <mergeCell ref="A28:E28"/>
    <mergeCell ref="A29:E29"/>
    <mergeCell ref="A30:E30"/>
    <mergeCell ref="A26:E26"/>
    <mergeCell ref="M27:Q27"/>
    <mergeCell ref="A6:X6"/>
    <mergeCell ref="A14:D14"/>
    <mergeCell ref="M26:Q26"/>
    <mergeCell ref="S27:W27"/>
    <mergeCell ref="F10:H10"/>
    <mergeCell ref="A1:X1"/>
    <mergeCell ref="A2:X2"/>
    <mergeCell ref="A33:E33"/>
    <mergeCell ref="A36:X36"/>
    <mergeCell ref="G31:K31"/>
    <mergeCell ref="G32:K32"/>
    <mergeCell ref="G33:K33"/>
    <mergeCell ref="G34:K34"/>
    <mergeCell ref="G35:K35"/>
    <mergeCell ref="S34:W34"/>
    <mergeCell ref="M31:Q31"/>
    <mergeCell ref="S31:W31"/>
    <mergeCell ref="S32:W32"/>
    <mergeCell ref="S33:W33"/>
    <mergeCell ref="M33:Q33"/>
    <mergeCell ref="M34:Q34"/>
    <mergeCell ref="S28:W28"/>
    <mergeCell ref="S29:W29"/>
    <mergeCell ref="S30:W30"/>
    <mergeCell ref="W4:X4"/>
    <mergeCell ref="W5:X5"/>
    <mergeCell ref="M30:Q30"/>
    <mergeCell ref="A34:E34"/>
    <mergeCell ref="A35:E35"/>
    <mergeCell ref="M46:N46"/>
    <mergeCell ref="A45:B45"/>
    <mergeCell ref="A46:B46"/>
    <mergeCell ref="M47:N47"/>
    <mergeCell ref="M48:N48"/>
    <mergeCell ref="M49:N49"/>
    <mergeCell ref="M50:N50"/>
    <mergeCell ref="A48:B48"/>
    <mergeCell ref="S60:X60"/>
    <mergeCell ref="G52:L52"/>
    <mergeCell ref="G53:L53"/>
    <mergeCell ref="G54:L54"/>
    <mergeCell ref="G55:L55"/>
    <mergeCell ref="M52:Q52"/>
    <mergeCell ref="S52:X52"/>
    <mergeCell ref="S53:X53"/>
    <mergeCell ref="S54:X54"/>
    <mergeCell ref="S55:X55"/>
    <mergeCell ref="S56:X56"/>
    <mergeCell ref="S57:X57"/>
    <mergeCell ref="S58:X58"/>
    <mergeCell ref="S59:X59"/>
    <mergeCell ref="M53:Q53"/>
    <mergeCell ref="M54:Q54"/>
    <mergeCell ref="A55:E55"/>
    <mergeCell ref="A56:E56"/>
    <mergeCell ref="M55:Q55"/>
    <mergeCell ref="G48:H48"/>
    <mergeCell ref="G49:H49"/>
    <mergeCell ref="A47:B47"/>
    <mergeCell ref="G45:H45"/>
    <mergeCell ref="G46:H46"/>
    <mergeCell ref="M44:N44"/>
    <mergeCell ref="A53:E53"/>
    <mergeCell ref="A54:E54"/>
    <mergeCell ref="A49:B49"/>
    <mergeCell ref="A52:E52"/>
    <mergeCell ref="A51:X51"/>
    <mergeCell ref="S45:T45"/>
    <mergeCell ref="S46:T46"/>
    <mergeCell ref="S47:T47"/>
    <mergeCell ref="S50:T50"/>
    <mergeCell ref="A50:B50"/>
    <mergeCell ref="G47:H47"/>
    <mergeCell ref="S48:T48"/>
    <mergeCell ref="S49:T49"/>
    <mergeCell ref="G50:H50"/>
    <mergeCell ref="M45:N45"/>
    <mergeCell ref="A57:E57"/>
    <mergeCell ref="A58:E58"/>
    <mergeCell ref="A59:E59"/>
    <mergeCell ref="A60:E60"/>
    <mergeCell ref="M60:P60"/>
    <mergeCell ref="G56:L56"/>
    <mergeCell ref="G57:L57"/>
    <mergeCell ref="G58:L58"/>
    <mergeCell ref="G59:L59"/>
    <mergeCell ref="G60:L60"/>
    <mergeCell ref="M56:Q56"/>
    <mergeCell ref="M57:Q57"/>
    <mergeCell ref="M58:Q58"/>
    <mergeCell ref="M59:Q59"/>
    <mergeCell ref="A10:D10"/>
    <mergeCell ref="A11:D11"/>
    <mergeCell ref="E4:L5"/>
    <mergeCell ref="U4:V4"/>
    <mergeCell ref="U5:V5"/>
    <mergeCell ref="U7:X7"/>
    <mergeCell ref="Q7:T7"/>
    <mergeCell ref="A7:D7"/>
    <mergeCell ref="A8:D8"/>
    <mergeCell ref="A9:D9"/>
    <mergeCell ref="N7:P7"/>
    <mergeCell ref="N8:P8"/>
    <mergeCell ref="A4:D4"/>
    <mergeCell ref="A5:D5"/>
    <mergeCell ref="U8:X11"/>
    <mergeCell ref="I8:L8"/>
    <mergeCell ref="M3:R3"/>
    <mergeCell ref="S3:T3"/>
    <mergeCell ref="S4:T4"/>
    <mergeCell ref="Q8:T11"/>
    <mergeCell ref="N9:P9"/>
    <mergeCell ref="M4:R5"/>
    <mergeCell ref="E3:L3"/>
    <mergeCell ref="F12:H12"/>
    <mergeCell ref="F13:H13"/>
    <mergeCell ref="N10:P10"/>
    <mergeCell ref="N11:P11"/>
    <mergeCell ref="N12:P12"/>
    <mergeCell ref="N13:P13"/>
    <mergeCell ref="F7:H7"/>
    <mergeCell ref="F8:H8"/>
    <mergeCell ref="F9:H9"/>
    <mergeCell ref="I7:L7"/>
    <mergeCell ref="I13:L13"/>
    <mergeCell ref="I9:L9"/>
    <mergeCell ref="F11:H11"/>
    <mergeCell ref="I10:L10"/>
    <mergeCell ref="I11:L11"/>
    <mergeCell ref="I12:L12"/>
    <mergeCell ref="A19:D19"/>
    <mergeCell ref="I23:J23"/>
    <mergeCell ref="A17:D17"/>
    <mergeCell ref="E17:L17"/>
    <mergeCell ref="I24:J24"/>
    <mergeCell ref="K24:L24"/>
    <mergeCell ref="M22:N22"/>
    <mergeCell ref="M23:N23"/>
    <mergeCell ref="M24:N24"/>
    <mergeCell ref="E23:F23"/>
    <mergeCell ref="E24:F24"/>
    <mergeCell ref="G22:H22"/>
    <mergeCell ref="A24:D24"/>
    <mergeCell ref="E22:F22"/>
    <mergeCell ref="I22:J22"/>
    <mergeCell ref="S17:T17"/>
    <mergeCell ref="S18:T18"/>
    <mergeCell ref="M17:R17"/>
    <mergeCell ref="F14:H14"/>
    <mergeCell ref="N14:P14"/>
    <mergeCell ref="Q12:T14"/>
    <mergeCell ref="U12:X14"/>
    <mergeCell ref="I14:L14"/>
    <mergeCell ref="A18:D18"/>
    <mergeCell ref="A15:X15"/>
    <mergeCell ref="A13:D13"/>
    <mergeCell ref="A61:X61"/>
    <mergeCell ref="A12:D12"/>
    <mergeCell ref="E18:L19"/>
    <mergeCell ref="U17:X17"/>
    <mergeCell ref="M18:R19"/>
    <mergeCell ref="U24:V24"/>
    <mergeCell ref="W22:X22"/>
    <mergeCell ref="W23:X23"/>
    <mergeCell ref="W24:X24"/>
    <mergeCell ref="K22:L22"/>
    <mergeCell ref="K23:L23"/>
    <mergeCell ref="A21:D21"/>
    <mergeCell ref="A22:D22"/>
    <mergeCell ref="A23:D23"/>
    <mergeCell ref="O22:P22"/>
    <mergeCell ref="O23:P23"/>
    <mergeCell ref="E21:X21"/>
    <mergeCell ref="G23:H23"/>
    <mergeCell ref="G24:H24"/>
    <mergeCell ref="W18:X18"/>
    <mergeCell ref="W19:X19"/>
    <mergeCell ref="S19:T19"/>
    <mergeCell ref="U18:V18"/>
    <mergeCell ref="U19:V19"/>
  </mergeCells>
  <dataValidations count="1">
    <dataValidation type="list" allowBlank="1" showInputMessage="1" showErrorMessage="1" sqref="U19:V19 U5:V5" xr:uid="{65E5318F-A6B2-D14A-8241-F8F6AB607CA7}">
      <formula1>PHASE</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1C247BFF-C594-284C-99EC-D0FA87DBA71E}">
          <x14:formula1>
            <xm:f>List!$X$14:$X$33</xm:f>
          </x14:formula1>
          <xm:sqref>W19:X19 W5:X5</xm:sqref>
        </x14:dataValidation>
        <x14:dataValidation type="list" allowBlank="1" showInputMessage="1" showErrorMessage="1" xr:uid="{A657AB48-FB3D-C44F-98CA-7A5C3CA2E1C0}">
          <x14:formula1>
            <xm:f>List!$A$1:$A$4</xm:f>
          </x14:formula1>
          <xm:sqref>A22:D22</xm:sqref>
        </x14:dataValidation>
        <x14:dataValidation type="list" allowBlank="1" showInputMessage="1" showErrorMessage="1" xr:uid="{20BA3571-5F45-BF4A-803B-9DC125773FF9}">
          <x14:formula1>
            <xm:f>List!$A$40:$A$44</xm:f>
          </x14:formula1>
          <xm:sqref>X27:X35 F53:F60 R53:R59 F27:F35 L27:L35 R27:R33</xm:sqref>
        </x14:dataValidation>
        <x14:dataValidation type="list" allowBlank="1" showInputMessage="1" showErrorMessage="1" xr:uid="{14719E00-DE7E-8F4C-9E0A-E21CF3ECB10A}">
          <x14:formula1>
            <xm:f>List!$A$6:$A$9</xm:f>
          </x14:formula1>
          <xm:sqref>E23:X23</xm:sqref>
        </x14:dataValidation>
        <x14:dataValidation type="list" allowBlank="1" showInputMessage="1" showErrorMessage="1" xr:uid="{3A319125-892D-B649-A44B-19FC5A64C53E}">
          <x14:formula1>
            <xm:f>List!$A$30:$A$33</xm:f>
          </x14:formula1>
          <xm:sqref>E8:E12 M8:M11</xm:sqref>
        </x14:dataValidation>
        <x14:dataValidation type="list" allowBlank="1" showInputMessage="1" showErrorMessage="1" xr:uid="{9B3409C0-C0BA-FC45-999C-B72959F3A377}">
          <x14:formula1>
            <xm:f>List!$S$1:$S$14</xm:f>
          </x14:formula1>
          <xm:sqref>U8</xm:sqref>
        </x14:dataValidation>
        <x14:dataValidation type="list" allowBlank="1" showInputMessage="1" showErrorMessage="1" xr:uid="{87F6AF69-FD1E-8942-9B5F-6EBA922D9F5A}">
          <x14:formula1>
            <xm:f>List!$A$19:$A$23</xm:f>
          </x14:formula1>
          <xm:sqref>S19:T19</xm:sqref>
        </x14:dataValidation>
        <x14:dataValidation type="list" allowBlank="1" showInputMessage="1" showErrorMessage="1" xr:uid="{EE967353-BF6B-5045-B465-F4B0983908E6}">
          <x14:formula1>
            <xm:f>List!$A$20:$A$23</xm:f>
          </x14:formula1>
          <xm:sqref>S5:T5</xm:sqref>
        </x14:dataValidation>
        <x14:dataValidation type="list" allowBlank="1" showInputMessage="1" showErrorMessage="1" xr:uid="{82CD151B-D386-5B45-AF78-18615CB85454}">
          <x14:formula1>
            <xm:f>List!$A$48:$A$56</xm:f>
          </x14:formula1>
          <xm:sqref>Q8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DC0B0-2AF0-AB41-839C-E2A182BE40DC}">
  <sheetPr codeName="Sheet3">
    <tabColor theme="5"/>
  </sheetPr>
  <dimension ref="A1:Q21"/>
  <sheetViews>
    <sheetView zoomScaleNormal="110" workbookViewId="0">
      <selection activeCell="K5" sqref="K5:L5"/>
    </sheetView>
  </sheetViews>
  <sheetFormatPr baseColWidth="10" defaultColWidth="11" defaultRowHeight="16" x14ac:dyDescent="0.2"/>
  <sheetData>
    <row r="1" spans="1:17" ht="120" customHeight="1" x14ac:dyDescent="0.2">
      <c r="A1" s="35" t="s">
        <v>406</v>
      </c>
      <c r="B1" s="36"/>
      <c r="C1" s="36"/>
      <c r="D1" s="36"/>
      <c r="E1" s="36"/>
      <c r="F1" s="36"/>
      <c r="G1" s="36"/>
      <c r="H1" s="36"/>
      <c r="I1" s="36"/>
      <c r="J1" s="36"/>
      <c r="K1" s="36"/>
      <c r="L1" s="36"/>
      <c r="M1" s="36"/>
      <c r="N1" s="36"/>
      <c r="O1" s="36"/>
      <c r="P1" s="36"/>
      <c r="Q1" s="7"/>
    </row>
    <row r="2" spans="1:17" s="9" customFormat="1" ht="32" customHeight="1" x14ac:dyDescent="0.2">
      <c r="A2" s="38" t="s">
        <v>124</v>
      </c>
      <c r="B2" s="78"/>
      <c r="C2" s="78"/>
      <c r="D2" s="78"/>
      <c r="E2" s="78"/>
      <c r="F2" s="78"/>
      <c r="G2" s="78"/>
      <c r="H2" s="78"/>
      <c r="I2" s="78"/>
      <c r="J2" s="78"/>
      <c r="K2" s="78"/>
      <c r="L2" s="78"/>
      <c r="M2" s="78"/>
      <c r="N2" s="78"/>
      <c r="O2" s="78"/>
      <c r="P2" s="78"/>
      <c r="Q2" s="10"/>
    </row>
    <row r="3" spans="1:17" s="9" customFormat="1" ht="32" customHeight="1" x14ac:dyDescent="0.2">
      <c r="A3" s="29" t="s">
        <v>125</v>
      </c>
      <c r="B3" s="29"/>
      <c r="C3" s="29"/>
      <c r="D3" s="29"/>
      <c r="E3" s="29"/>
      <c r="F3" s="29" t="s">
        <v>126</v>
      </c>
      <c r="G3" s="29"/>
      <c r="H3" s="29"/>
      <c r="I3" s="29"/>
      <c r="J3" s="29"/>
      <c r="K3" s="29" t="s">
        <v>127</v>
      </c>
      <c r="L3" s="29"/>
      <c r="M3" s="29"/>
      <c r="N3" s="29"/>
      <c r="O3" s="29"/>
      <c r="P3" s="29"/>
      <c r="Q3" s="10"/>
    </row>
    <row r="4" spans="1:17" ht="32" customHeight="1" x14ac:dyDescent="0.2">
      <c r="A4" s="37"/>
      <c r="B4" s="37"/>
      <c r="C4" s="37"/>
      <c r="D4" s="37"/>
      <c r="E4" s="37"/>
      <c r="F4" s="76"/>
      <c r="G4" s="76"/>
      <c r="H4" s="76"/>
      <c r="I4" s="76"/>
      <c r="J4" s="76"/>
      <c r="K4" s="46" t="s">
        <v>128</v>
      </c>
      <c r="L4" s="46"/>
      <c r="M4" s="46" t="s">
        <v>129</v>
      </c>
      <c r="N4" s="46"/>
      <c r="O4" s="46" t="s">
        <v>130</v>
      </c>
      <c r="P4" s="46"/>
      <c r="Q4" s="7"/>
    </row>
    <row r="5" spans="1:17" ht="32" customHeight="1" x14ac:dyDescent="0.2">
      <c r="A5" s="37"/>
      <c r="B5" s="37"/>
      <c r="C5" s="37"/>
      <c r="D5" s="37"/>
      <c r="E5" s="37"/>
      <c r="F5" s="76"/>
      <c r="G5" s="76"/>
      <c r="H5" s="76"/>
      <c r="I5" s="76"/>
      <c r="J5" s="76"/>
      <c r="K5" s="76"/>
      <c r="L5" s="76"/>
      <c r="M5" s="37"/>
      <c r="N5" s="37"/>
      <c r="O5" s="37"/>
      <c r="P5" s="37"/>
      <c r="Q5" s="7"/>
    </row>
    <row r="6" spans="1:17" ht="32" customHeight="1" x14ac:dyDescent="0.2">
      <c r="A6" s="31"/>
      <c r="B6" s="31"/>
      <c r="C6" s="31"/>
      <c r="D6" s="31"/>
      <c r="E6" s="31"/>
      <c r="F6" s="76" t="s">
        <v>33</v>
      </c>
      <c r="G6" s="76"/>
      <c r="H6" s="76"/>
      <c r="I6" s="76"/>
      <c r="J6" s="76"/>
      <c r="K6" s="75" t="s">
        <v>133</v>
      </c>
      <c r="L6" s="75"/>
      <c r="M6" s="75"/>
      <c r="N6" s="75"/>
      <c r="O6" s="75"/>
      <c r="P6" s="75"/>
      <c r="Q6" s="7"/>
    </row>
    <row r="7" spans="1:17" ht="32" customHeight="1" x14ac:dyDescent="0.25">
      <c r="A7" s="79" t="s">
        <v>134</v>
      </c>
      <c r="B7" s="80"/>
      <c r="C7" s="80"/>
      <c r="D7" s="80"/>
      <c r="E7" s="80"/>
      <c r="F7" s="80"/>
      <c r="G7" s="80"/>
      <c r="H7" s="80"/>
      <c r="I7" s="80"/>
      <c r="J7" s="80"/>
      <c r="K7" s="80"/>
      <c r="L7" s="80"/>
      <c r="M7" s="80"/>
      <c r="N7" s="80"/>
      <c r="O7" s="80"/>
      <c r="P7" s="80"/>
      <c r="Q7" s="7"/>
    </row>
    <row r="8" spans="1:17" ht="32" customHeight="1" x14ac:dyDescent="0.2">
      <c r="A8" s="29" t="s">
        <v>135</v>
      </c>
      <c r="B8" s="29"/>
      <c r="C8" s="29" t="s">
        <v>136</v>
      </c>
      <c r="D8" s="29"/>
      <c r="E8" s="29" t="s">
        <v>137</v>
      </c>
      <c r="F8" s="29"/>
      <c r="G8" s="29" t="s">
        <v>138</v>
      </c>
      <c r="H8" s="29"/>
      <c r="I8" s="29" t="s">
        <v>139</v>
      </c>
      <c r="J8" s="29"/>
      <c r="K8" s="29" t="s">
        <v>140</v>
      </c>
      <c r="L8" s="29"/>
      <c r="M8" s="40" t="s">
        <v>141</v>
      </c>
      <c r="N8" s="40"/>
      <c r="O8" s="81"/>
      <c r="P8" s="81"/>
      <c r="Q8" s="7"/>
    </row>
    <row r="9" spans="1:17" ht="127" customHeight="1" x14ac:dyDescent="0.2">
      <c r="A9" s="77"/>
      <c r="B9" s="77"/>
      <c r="C9" s="77"/>
      <c r="D9" s="77"/>
      <c r="E9" s="77"/>
      <c r="F9" s="77"/>
      <c r="G9" s="77"/>
      <c r="H9" s="77"/>
      <c r="I9" s="77"/>
      <c r="J9" s="77"/>
      <c r="K9" s="77"/>
      <c r="L9" s="77"/>
      <c r="M9" s="77"/>
      <c r="N9" s="77"/>
      <c r="O9" s="49"/>
      <c r="P9" s="49"/>
      <c r="Q9" s="7"/>
    </row>
    <row r="10" spans="1:17" ht="32" customHeight="1" x14ac:dyDescent="0.2">
      <c r="A10" s="37" t="s">
        <v>142</v>
      </c>
      <c r="B10" s="37"/>
      <c r="C10" s="37" t="s">
        <v>142</v>
      </c>
      <c r="D10" s="37"/>
      <c r="E10" s="37" t="s">
        <v>142</v>
      </c>
      <c r="F10" s="37"/>
      <c r="G10" s="37" t="s">
        <v>142</v>
      </c>
      <c r="H10" s="37"/>
      <c r="I10" s="37" t="s">
        <v>142</v>
      </c>
      <c r="J10" s="37"/>
      <c r="K10" s="37" t="s">
        <v>142</v>
      </c>
      <c r="L10" s="37"/>
      <c r="M10" s="37" t="s">
        <v>142</v>
      </c>
      <c r="N10" s="37"/>
      <c r="O10" s="49"/>
      <c r="P10" s="49"/>
      <c r="Q10" s="7"/>
    </row>
    <row r="11" spans="1:17" s="9" customFormat="1" ht="32" customHeight="1" x14ac:dyDescent="0.2">
      <c r="A11" s="68" t="s">
        <v>143</v>
      </c>
      <c r="B11" s="68"/>
      <c r="C11" s="68"/>
      <c r="D11" s="68"/>
      <c r="E11" s="68"/>
      <c r="F11" s="68"/>
      <c r="G11" s="68"/>
      <c r="H11" s="68"/>
      <c r="I11" s="68"/>
      <c r="J11" s="68"/>
      <c r="K11" s="68"/>
      <c r="L11" s="68"/>
      <c r="M11" s="68"/>
      <c r="N11" s="68"/>
      <c r="O11" s="68"/>
      <c r="P11" s="68"/>
      <c r="Q11" s="10"/>
    </row>
    <row r="12" spans="1:17" s="9" customFormat="1" ht="32" customHeight="1" x14ac:dyDescent="0.2">
      <c r="A12" s="29" t="s">
        <v>107</v>
      </c>
      <c r="B12" s="29"/>
      <c r="C12" s="29"/>
      <c r="D12" s="29"/>
      <c r="E12" s="11" t="s">
        <v>18</v>
      </c>
      <c r="F12" s="29" t="s">
        <v>19</v>
      </c>
      <c r="G12" s="29"/>
      <c r="H12" s="29"/>
      <c r="I12" s="29" t="s">
        <v>144</v>
      </c>
      <c r="J12" s="29"/>
      <c r="K12" s="29"/>
      <c r="L12" s="29"/>
      <c r="M12" s="8" t="s">
        <v>18</v>
      </c>
      <c r="N12" s="29" t="s">
        <v>19</v>
      </c>
      <c r="O12" s="29"/>
      <c r="P12" s="29"/>
      <c r="Q12" s="10"/>
    </row>
    <row r="13" spans="1:17" ht="32" customHeight="1" x14ac:dyDescent="0.2">
      <c r="A13" s="32" t="s">
        <v>145</v>
      </c>
      <c r="B13" s="32"/>
      <c r="C13" s="32"/>
      <c r="D13" s="32"/>
      <c r="E13" s="28"/>
      <c r="F13" s="37"/>
      <c r="G13" s="37"/>
      <c r="H13" s="37"/>
      <c r="I13" s="32" t="s">
        <v>146</v>
      </c>
      <c r="J13" s="32"/>
      <c r="K13" s="32"/>
      <c r="L13" s="32"/>
      <c r="M13" s="18"/>
      <c r="N13" s="82"/>
      <c r="O13" s="82"/>
      <c r="P13" s="82"/>
      <c r="Q13" s="7"/>
    </row>
    <row r="14" spans="1:17" ht="32" customHeight="1" x14ac:dyDescent="0.2">
      <c r="A14" s="32" t="s">
        <v>147</v>
      </c>
      <c r="B14" s="32"/>
      <c r="C14" s="32"/>
      <c r="D14" s="32"/>
      <c r="E14" s="28"/>
      <c r="F14" s="37"/>
      <c r="G14" s="37"/>
      <c r="H14" s="37"/>
      <c r="I14" s="32" t="s">
        <v>148</v>
      </c>
      <c r="J14" s="31"/>
      <c r="K14" s="31"/>
      <c r="L14" s="31"/>
      <c r="M14" s="18"/>
      <c r="N14" s="82"/>
      <c r="O14" s="82"/>
      <c r="P14" s="82"/>
      <c r="Q14" s="7"/>
    </row>
    <row r="15" spans="1:17" ht="32" customHeight="1" x14ac:dyDescent="0.2">
      <c r="A15" s="32" t="s">
        <v>149</v>
      </c>
      <c r="B15" s="32"/>
      <c r="C15" s="32"/>
      <c r="D15" s="32"/>
      <c r="E15" s="28"/>
      <c r="F15" s="37"/>
      <c r="G15" s="37"/>
      <c r="H15" s="37"/>
      <c r="I15" s="32" t="s">
        <v>150</v>
      </c>
      <c r="J15" s="32"/>
      <c r="K15" s="32"/>
      <c r="L15" s="32"/>
      <c r="M15" s="18"/>
      <c r="N15" s="82"/>
      <c r="O15" s="82"/>
      <c r="P15" s="82"/>
      <c r="Q15" s="7"/>
    </row>
    <row r="16" spans="1:17" ht="32" customHeight="1" x14ac:dyDescent="0.2">
      <c r="A16" s="32" t="s">
        <v>151</v>
      </c>
      <c r="B16" s="32"/>
      <c r="C16" s="32"/>
      <c r="D16" s="32"/>
      <c r="E16" s="28"/>
      <c r="F16" s="37"/>
      <c r="G16" s="37"/>
      <c r="H16" s="37"/>
      <c r="I16" s="32" t="s">
        <v>152</v>
      </c>
      <c r="J16" s="32"/>
      <c r="K16" s="32"/>
      <c r="L16" s="32"/>
      <c r="M16" s="18"/>
      <c r="N16" s="82"/>
      <c r="O16" s="82"/>
      <c r="P16" s="82"/>
      <c r="Q16" s="7"/>
    </row>
    <row r="17" spans="1:17" ht="32" customHeight="1" x14ac:dyDescent="0.2">
      <c r="A17" s="32" t="s">
        <v>153</v>
      </c>
      <c r="B17" s="32"/>
      <c r="C17" s="32"/>
      <c r="D17" s="32"/>
      <c r="E17" s="28"/>
      <c r="F17" s="37"/>
      <c r="G17" s="37"/>
      <c r="H17" s="37"/>
      <c r="I17" s="32" t="s">
        <v>154</v>
      </c>
      <c r="J17" s="32"/>
      <c r="K17" s="32"/>
      <c r="L17" s="32"/>
      <c r="M17" s="18"/>
      <c r="N17" s="82"/>
      <c r="O17" s="82"/>
      <c r="P17" s="82"/>
      <c r="Q17" s="7"/>
    </row>
    <row r="18" spans="1:17" ht="32" customHeight="1" x14ac:dyDescent="0.2">
      <c r="A18" s="32" t="s">
        <v>155</v>
      </c>
      <c r="B18" s="32"/>
      <c r="C18" s="32"/>
      <c r="D18" s="32"/>
      <c r="E18" s="28"/>
      <c r="F18" s="37"/>
      <c r="G18" s="37"/>
      <c r="H18" s="37"/>
      <c r="I18" s="32" t="s">
        <v>156</v>
      </c>
      <c r="J18" s="32"/>
      <c r="K18" s="32"/>
      <c r="L18" s="32"/>
      <c r="M18" s="18"/>
      <c r="N18" s="82"/>
      <c r="O18" s="82"/>
      <c r="P18" s="82"/>
      <c r="Q18" s="7"/>
    </row>
    <row r="19" spans="1:17" ht="32" customHeight="1" x14ac:dyDescent="0.2">
      <c r="A19" s="32" t="s">
        <v>157</v>
      </c>
      <c r="B19" s="32"/>
      <c r="C19" s="32"/>
      <c r="D19" s="32"/>
      <c r="E19" s="28"/>
      <c r="F19" s="37"/>
      <c r="G19" s="37"/>
      <c r="H19" s="37"/>
      <c r="I19" s="45"/>
      <c r="J19" s="45"/>
      <c r="K19" s="45"/>
      <c r="L19" s="45"/>
      <c r="M19" s="16"/>
      <c r="N19" s="83"/>
      <c r="O19" s="83"/>
      <c r="P19" s="83"/>
      <c r="Q19" s="7"/>
    </row>
    <row r="20" spans="1:17" ht="32" customHeight="1" x14ac:dyDescent="0.2">
      <c r="A20" s="32" t="s">
        <v>158</v>
      </c>
      <c r="B20" s="32"/>
      <c r="C20" s="32"/>
      <c r="D20" s="32"/>
      <c r="E20" s="28"/>
      <c r="F20" s="37"/>
      <c r="G20" s="37"/>
      <c r="H20" s="37"/>
      <c r="I20" s="45"/>
      <c r="J20" s="45"/>
      <c r="K20" s="45"/>
      <c r="L20" s="45"/>
      <c r="M20" s="16"/>
      <c r="N20" s="83"/>
      <c r="O20" s="83"/>
      <c r="P20" s="83"/>
      <c r="Q20" s="7"/>
    </row>
    <row r="21" spans="1:17" ht="32" customHeight="1" x14ac:dyDescent="0.2">
      <c r="A21" s="43"/>
      <c r="B21" s="43"/>
      <c r="C21" s="43"/>
      <c r="D21" s="43"/>
      <c r="E21" s="43"/>
      <c r="F21" s="43"/>
      <c r="G21" s="43"/>
      <c r="H21" s="43"/>
      <c r="I21" s="43"/>
      <c r="J21" s="43"/>
      <c r="K21" s="43"/>
      <c r="L21" s="43"/>
      <c r="M21" s="43"/>
      <c r="N21" s="43"/>
      <c r="O21" s="43"/>
      <c r="P21" s="43"/>
      <c r="Q21" s="7"/>
    </row>
  </sheetData>
  <sheetProtection selectLockedCells="1"/>
  <mergeCells count="79">
    <mergeCell ref="I18:L18"/>
    <mergeCell ref="N12:P12"/>
    <mergeCell ref="N13:P13"/>
    <mergeCell ref="N14:P14"/>
    <mergeCell ref="N15:P15"/>
    <mergeCell ref="N16:P16"/>
    <mergeCell ref="I12:L12"/>
    <mergeCell ref="I13:L13"/>
    <mergeCell ref="I14:L14"/>
    <mergeCell ref="I17:L17"/>
    <mergeCell ref="I15:L15"/>
    <mergeCell ref="A9:B9"/>
    <mergeCell ref="A21:P21"/>
    <mergeCell ref="F14:H14"/>
    <mergeCell ref="F15:H15"/>
    <mergeCell ref="F16:H16"/>
    <mergeCell ref="F17:H17"/>
    <mergeCell ref="F18:H18"/>
    <mergeCell ref="F19:H19"/>
    <mergeCell ref="F20:H20"/>
    <mergeCell ref="I19:L19"/>
    <mergeCell ref="I20:L20"/>
    <mergeCell ref="N17:P17"/>
    <mergeCell ref="N18:P18"/>
    <mergeCell ref="N19:P19"/>
    <mergeCell ref="N20:P20"/>
    <mergeCell ref="I16:L16"/>
    <mergeCell ref="F13:H13"/>
    <mergeCell ref="A20:D20"/>
    <mergeCell ref="A12:D12"/>
    <mergeCell ref="A13:D13"/>
    <mergeCell ref="A14:D14"/>
    <mergeCell ref="A15:D15"/>
    <mergeCell ref="A16:D16"/>
    <mergeCell ref="A19:D19"/>
    <mergeCell ref="A18:D18"/>
    <mergeCell ref="A17:D17"/>
    <mergeCell ref="E9:F9"/>
    <mergeCell ref="E10:F10"/>
    <mergeCell ref="G9:H9"/>
    <mergeCell ref="G10:H10"/>
    <mergeCell ref="F12:H12"/>
    <mergeCell ref="O9:P9"/>
    <mergeCell ref="O10:P10"/>
    <mergeCell ref="M9:N9"/>
    <mergeCell ref="M10:N10"/>
    <mergeCell ref="I9:J9"/>
    <mergeCell ref="I10:J10"/>
    <mergeCell ref="K9:L9"/>
    <mergeCell ref="K10:L10"/>
    <mergeCell ref="A7:P7"/>
    <mergeCell ref="A8:B8"/>
    <mergeCell ref="E8:F8"/>
    <mergeCell ref="I8:J8"/>
    <mergeCell ref="K8:L8"/>
    <mergeCell ref="M8:N8"/>
    <mergeCell ref="G8:H8"/>
    <mergeCell ref="O8:P8"/>
    <mergeCell ref="A1:P1"/>
    <mergeCell ref="A2:P2"/>
    <mergeCell ref="A3:E3"/>
    <mergeCell ref="A4:E5"/>
    <mergeCell ref="F4:J5"/>
    <mergeCell ref="K6:P6"/>
    <mergeCell ref="A11:P11"/>
    <mergeCell ref="F3:J3"/>
    <mergeCell ref="F6:J6"/>
    <mergeCell ref="K3:P3"/>
    <mergeCell ref="K4:L4"/>
    <mergeCell ref="K5:L5"/>
    <mergeCell ref="M4:N4"/>
    <mergeCell ref="M5:N5"/>
    <mergeCell ref="O4:P4"/>
    <mergeCell ref="O5:P5"/>
    <mergeCell ref="A6:E6"/>
    <mergeCell ref="A10:B10"/>
    <mergeCell ref="C8:D8"/>
    <mergeCell ref="C9:D9"/>
    <mergeCell ref="C10:D10"/>
  </mergeCells>
  <dataValidations count="3">
    <dataValidation type="list" allowBlank="1" showInputMessage="1" showErrorMessage="1" sqref="K5:L5" xr:uid="{16EC9452-C37B-5A40-850A-53937CF8BF34}">
      <formula1>PHASE</formula1>
    </dataValidation>
    <dataValidation type="list" allowBlank="1" showInputMessage="1" showErrorMessage="1" sqref="M5:N5" xr:uid="{84C697D3-8D77-1640-B38C-6513D1B1A23F}">
      <formula1>INDIRECT(K5)</formula1>
    </dataValidation>
    <dataValidation type="list" allowBlank="1" showInputMessage="1" showErrorMessage="1" sqref="O5:P5" xr:uid="{7ABAE9E3-A590-2044-AAA6-36C83FC7A0DD}">
      <formula1>INDIRECT(SUBSTITUTE(K5&amp;M5," ",""))</formula1>
    </dataValidation>
  </dataValidations>
  <pageMargins left="0.7" right="0.7" top="0.75" bottom="0.75" header="0.3" footer="0.3"/>
  <pageSetup paperSize="9" orientation="portrait" horizontalDpi="0" verticalDpi="0"/>
  <legacyDrawing r:id="rId1"/>
  <extLst>
    <ext xmlns:x14="http://schemas.microsoft.com/office/spreadsheetml/2009/9/main" uri="{CCE6A557-97BC-4b89-ADB6-D9C93CAAB3DF}">
      <x14:dataValidations xmlns:xm="http://schemas.microsoft.com/office/excel/2006/main" count="9">
        <x14:dataValidation type="list" allowBlank="1" showInputMessage="1" showErrorMessage="1" xr:uid="{BF3F5F65-E2F0-DE42-B26E-F90288B9E865}">
          <x14:formula1>
            <xm:f>List!$A$40:$A$44</xm:f>
          </x14:formula1>
          <xm:sqref>E13:E20 M13:M19</xm:sqref>
        </x14:dataValidation>
        <x14:dataValidation type="list" allowBlank="1" showInputMessage="1" showErrorMessage="1" xr:uid="{2AC269F3-9523-4448-BE55-877393874BC3}">
          <x14:formula1>
            <xm:f>List!$J$1:$J$9</xm:f>
          </x14:formula1>
          <xm:sqref>A9:B9</xm:sqref>
        </x14:dataValidation>
        <x14:dataValidation type="list" allowBlank="1" showInputMessage="1" showErrorMessage="1" xr:uid="{01C3526B-7A5A-F042-9604-DF74DACB749C}">
          <x14:formula1>
            <xm:f>List!$P$1:$P$10</xm:f>
          </x14:formula1>
          <xm:sqref>C9:D9</xm:sqref>
        </x14:dataValidation>
        <x14:dataValidation type="list" allowBlank="1" showInputMessage="1" showErrorMessage="1" xr:uid="{0CE643B2-D6A7-2D4E-9116-056323A9485A}">
          <x14:formula1>
            <xm:f>List!$L$1:$L$9</xm:f>
          </x14:formula1>
          <xm:sqref>E9:F9</xm:sqref>
        </x14:dataValidation>
        <x14:dataValidation type="list" allowBlank="1" showInputMessage="1" showErrorMessage="1" xr:uid="{D3D4B5A8-9390-1E4A-9921-BEA8800F82A1}">
          <x14:formula1>
            <xm:f>List!$M$1:$M$9</xm:f>
          </x14:formula1>
          <xm:sqref>G9:H9</xm:sqref>
        </x14:dataValidation>
        <x14:dataValidation type="list" allowBlank="1" showInputMessage="1" showErrorMessage="1" xr:uid="{2E78643B-DA67-714A-877A-3C0497D93AB3}">
          <x14:formula1>
            <xm:f>List!$N$1:$N$9</xm:f>
          </x14:formula1>
          <xm:sqref>I9:J9</xm:sqref>
        </x14:dataValidation>
        <x14:dataValidation type="list" allowBlank="1" showInputMessage="1" showErrorMessage="1" xr:uid="{BA35D701-BB90-7C42-98DB-36173E767F1C}">
          <x14:formula1>
            <xm:f>List!$K$1:$K$9</xm:f>
          </x14:formula1>
          <xm:sqref>K9:L9</xm:sqref>
        </x14:dataValidation>
        <x14:dataValidation type="list" allowBlank="1" showInputMessage="1" showErrorMessage="1" xr:uid="{E32E082F-47F9-644D-ABEB-5A35C157A3E2}">
          <x14:formula1>
            <xm:f>List!$O$1:$O$4</xm:f>
          </x14:formula1>
          <xm:sqref>M9:N9</xm:sqref>
        </x14:dataValidation>
        <x14:dataValidation type="list" allowBlank="1" showInputMessage="1" showErrorMessage="1" xr:uid="{B9AEE0B3-D12D-314E-9E52-679EE569A640}">
          <x14:formula1>
            <xm:f>List!$S$1:$S$14</xm:f>
          </x14:formula1>
          <xm:sqref>F4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B886A0-667C-7644-B37B-A113AFCA4D0F}">
  <sheetPr codeName="Sheet4">
    <tabColor theme="3" tint="0.749992370372631"/>
  </sheetPr>
  <dimension ref="A1:Q28"/>
  <sheetViews>
    <sheetView tabSelected="1" zoomScale="75" workbookViewId="0">
      <selection activeCell="P10" sqref="P10"/>
    </sheetView>
  </sheetViews>
  <sheetFormatPr baseColWidth="10" defaultColWidth="11" defaultRowHeight="16" x14ac:dyDescent="0.2"/>
  <sheetData>
    <row r="1" spans="1:17" ht="120" customHeight="1" x14ac:dyDescent="0.2">
      <c r="A1" s="35" t="s">
        <v>407</v>
      </c>
      <c r="B1" s="36"/>
      <c r="C1" s="36"/>
      <c r="D1" s="36"/>
      <c r="E1" s="36"/>
      <c r="F1" s="36"/>
      <c r="G1" s="36"/>
      <c r="H1" s="36"/>
      <c r="I1" s="36"/>
      <c r="J1" s="36"/>
      <c r="K1" s="36"/>
      <c r="L1" s="36"/>
      <c r="M1" s="36"/>
      <c r="N1" s="36"/>
      <c r="O1" s="36"/>
      <c r="P1" s="36"/>
      <c r="Q1" s="7"/>
    </row>
    <row r="2" spans="1:17" s="9" customFormat="1" ht="32" customHeight="1" x14ac:dyDescent="0.2">
      <c r="A2" s="38" t="s">
        <v>159</v>
      </c>
      <c r="B2" s="39"/>
      <c r="C2" s="39"/>
      <c r="D2" s="39"/>
      <c r="E2" s="39"/>
      <c r="F2" s="39"/>
      <c r="G2" s="39"/>
      <c r="H2" s="39"/>
      <c r="I2" s="39"/>
      <c r="J2" s="39"/>
      <c r="K2" s="39"/>
      <c r="L2" s="39"/>
      <c r="M2" s="39"/>
      <c r="N2" s="39"/>
      <c r="O2" s="39"/>
      <c r="P2" s="39"/>
      <c r="Q2" s="10"/>
    </row>
    <row r="3" spans="1:17" s="9" customFormat="1" ht="32" customHeight="1" x14ac:dyDescent="0.2">
      <c r="A3" s="40" t="s">
        <v>160</v>
      </c>
      <c r="B3" s="40"/>
      <c r="C3" s="40"/>
      <c r="D3" s="40"/>
      <c r="E3" s="40"/>
      <c r="F3" s="29" t="s">
        <v>161</v>
      </c>
      <c r="G3" s="29"/>
      <c r="H3" s="29"/>
      <c r="I3" s="29"/>
      <c r="J3" s="29"/>
      <c r="K3" s="29"/>
      <c r="L3" s="29"/>
      <c r="M3" s="29"/>
      <c r="N3" s="29"/>
      <c r="O3" s="29"/>
      <c r="P3" s="29"/>
      <c r="Q3" s="10"/>
    </row>
    <row r="4" spans="1:17" ht="32" customHeight="1" x14ac:dyDescent="0.2">
      <c r="A4" s="32" t="s">
        <v>162</v>
      </c>
      <c r="B4" s="32"/>
      <c r="C4" s="32"/>
      <c r="D4" s="32"/>
      <c r="E4" s="32"/>
      <c r="F4" s="37" t="s">
        <v>163</v>
      </c>
      <c r="G4" s="37"/>
      <c r="H4" s="37"/>
      <c r="I4" s="37"/>
      <c r="J4" s="37"/>
      <c r="K4" s="37"/>
      <c r="L4" s="37"/>
      <c r="M4" s="37"/>
      <c r="N4" s="37"/>
      <c r="O4" s="37"/>
      <c r="P4" s="37"/>
      <c r="Q4" s="7"/>
    </row>
    <row r="5" spans="1:17" ht="32" customHeight="1" x14ac:dyDescent="0.2">
      <c r="A5" s="32" t="s">
        <v>164</v>
      </c>
      <c r="B5" s="32"/>
      <c r="C5" s="32"/>
      <c r="D5" s="32"/>
      <c r="E5" s="32"/>
      <c r="F5" s="37" t="s">
        <v>163</v>
      </c>
      <c r="G5" s="37"/>
      <c r="H5" s="37"/>
      <c r="I5" s="37"/>
      <c r="J5" s="37"/>
      <c r="K5" s="37"/>
      <c r="L5" s="37"/>
      <c r="M5" s="37"/>
      <c r="N5" s="37"/>
      <c r="O5" s="37"/>
      <c r="P5" s="37"/>
      <c r="Q5" s="7"/>
    </row>
    <row r="6" spans="1:17" ht="32" customHeight="1" x14ac:dyDescent="0.2">
      <c r="A6" s="32" t="s">
        <v>165</v>
      </c>
      <c r="B6" s="32"/>
      <c r="C6" s="32"/>
      <c r="D6" s="32"/>
      <c r="E6" s="32"/>
      <c r="F6" s="37" t="s">
        <v>163</v>
      </c>
      <c r="G6" s="37"/>
      <c r="H6" s="37"/>
      <c r="I6" s="37"/>
      <c r="J6" s="37"/>
      <c r="K6" s="37"/>
      <c r="L6" s="37"/>
      <c r="M6" s="37"/>
      <c r="N6" s="37"/>
      <c r="O6" s="37"/>
      <c r="P6" s="37"/>
      <c r="Q6" s="7"/>
    </row>
    <row r="7" spans="1:17" ht="32" customHeight="1" x14ac:dyDescent="0.2">
      <c r="A7" s="31" t="s">
        <v>166</v>
      </c>
      <c r="B7" s="31"/>
      <c r="C7" s="31"/>
      <c r="D7" s="31"/>
      <c r="E7" s="31"/>
      <c r="F7" s="37" t="s">
        <v>163</v>
      </c>
      <c r="G7" s="37"/>
      <c r="H7" s="37"/>
      <c r="I7" s="37"/>
      <c r="J7" s="37"/>
      <c r="K7" s="37"/>
      <c r="L7" s="37"/>
      <c r="M7" s="37"/>
      <c r="N7" s="37"/>
      <c r="O7" s="37"/>
      <c r="P7" s="37"/>
      <c r="Q7" s="7"/>
    </row>
    <row r="8" spans="1:17" ht="32" customHeight="1" x14ac:dyDescent="0.2">
      <c r="A8" s="41" t="s">
        <v>167</v>
      </c>
      <c r="B8" s="41"/>
      <c r="C8" s="41"/>
      <c r="D8" s="41"/>
      <c r="E8" s="41"/>
      <c r="F8" s="41"/>
      <c r="G8" s="41"/>
      <c r="H8" s="41"/>
      <c r="I8" s="41"/>
      <c r="J8" s="41"/>
      <c r="K8" s="41"/>
      <c r="L8" s="41"/>
      <c r="M8" s="41"/>
      <c r="N8" s="41"/>
      <c r="O8" s="41"/>
      <c r="P8" s="41"/>
      <c r="Q8" s="7"/>
    </row>
    <row r="9" spans="1:17" s="9" customFormat="1" ht="32" customHeight="1" x14ac:dyDescent="0.2">
      <c r="A9" s="40" t="s">
        <v>168</v>
      </c>
      <c r="B9" s="40"/>
      <c r="C9" s="40"/>
      <c r="D9" s="40"/>
      <c r="E9" s="40"/>
      <c r="F9" s="29" t="s">
        <v>169</v>
      </c>
      <c r="G9" s="29"/>
      <c r="H9" s="29"/>
      <c r="I9" s="29"/>
      <c r="J9" s="29"/>
      <c r="K9" s="8" t="s">
        <v>18</v>
      </c>
      <c r="L9" s="29" t="s">
        <v>170</v>
      </c>
      <c r="M9" s="29"/>
      <c r="N9" s="29"/>
      <c r="O9" s="29"/>
      <c r="P9" s="8" t="s">
        <v>18</v>
      </c>
      <c r="Q9" s="10"/>
    </row>
    <row r="10" spans="1:17" ht="32" customHeight="1" x14ac:dyDescent="0.2">
      <c r="A10" s="33" t="s">
        <v>171</v>
      </c>
      <c r="B10" s="33"/>
      <c r="C10" s="33"/>
      <c r="D10" s="33"/>
      <c r="E10" s="33"/>
      <c r="F10" s="32" t="s">
        <v>172</v>
      </c>
      <c r="G10" s="32"/>
      <c r="H10" s="32"/>
      <c r="I10" s="32"/>
      <c r="J10" s="32"/>
      <c r="K10" s="18"/>
      <c r="L10" s="32" t="s">
        <v>173</v>
      </c>
      <c r="M10" s="32"/>
      <c r="N10" s="32"/>
      <c r="O10" s="32"/>
      <c r="P10" s="18"/>
      <c r="Q10" s="7"/>
    </row>
    <row r="11" spans="1:17" ht="32" customHeight="1" x14ac:dyDescent="0.2">
      <c r="A11" s="33" t="s">
        <v>174</v>
      </c>
      <c r="B11" s="33"/>
      <c r="C11" s="33"/>
      <c r="D11" s="33"/>
      <c r="E11" s="33"/>
      <c r="F11" s="32" t="s">
        <v>175</v>
      </c>
      <c r="G11" s="32"/>
      <c r="H11" s="32"/>
      <c r="I11" s="32"/>
      <c r="J11" s="32"/>
      <c r="K11" s="18"/>
      <c r="L11" s="32" t="s">
        <v>176</v>
      </c>
      <c r="M11" s="32"/>
      <c r="N11" s="32"/>
      <c r="O11" s="32"/>
      <c r="P11" s="18"/>
      <c r="Q11" s="7"/>
    </row>
    <row r="12" spans="1:17" ht="32" customHeight="1" x14ac:dyDescent="0.2">
      <c r="A12" s="30"/>
      <c r="B12" s="30"/>
      <c r="C12" s="30"/>
      <c r="D12" s="30"/>
      <c r="E12" s="30"/>
      <c r="F12" s="30"/>
      <c r="G12" s="30"/>
      <c r="H12" s="30"/>
      <c r="I12" s="30"/>
      <c r="J12" s="30"/>
      <c r="K12" s="27"/>
      <c r="L12" s="32" t="s">
        <v>177</v>
      </c>
      <c r="M12" s="32"/>
      <c r="N12" s="32"/>
      <c r="O12" s="32"/>
      <c r="P12" s="18"/>
      <c r="Q12" s="7"/>
    </row>
    <row r="13" spans="1:17" ht="32" customHeight="1" x14ac:dyDescent="0.2">
      <c r="A13" s="30"/>
      <c r="B13" s="30"/>
      <c r="C13" s="30"/>
      <c r="D13" s="30"/>
      <c r="E13" s="30"/>
      <c r="F13" s="30"/>
      <c r="G13" s="30"/>
      <c r="H13" s="30"/>
      <c r="I13" s="30"/>
      <c r="J13" s="30"/>
      <c r="K13" s="27"/>
      <c r="L13" s="32" t="s">
        <v>178</v>
      </c>
      <c r="M13" s="32"/>
      <c r="N13" s="32"/>
      <c r="O13" s="32"/>
      <c r="P13" s="18"/>
      <c r="Q13" s="7"/>
    </row>
    <row r="14" spans="1:17" ht="32" customHeight="1" x14ac:dyDescent="0.2">
      <c r="A14" s="30"/>
      <c r="B14" s="30"/>
      <c r="C14" s="30"/>
      <c r="D14" s="30"/>
      <c r="E14" s="30"/>
      <c r="F14" s="30"/>
      <c r="G14" s="30"/>
      <c r="H14" s="30"/>
      <c r="I14" s="30"/>
      <c r="J14" s="30"/>
      <c r="K14" s="27"/>
      <c r="L14" s="32" t="s">
        <v>179</v>
      </c>
      <c r="M14" s="32"/>
      <c r="N14" s="32"/>
      <c r="O14" s="32"/>
      <c r="P14" s="18"/>
      <c r="Q14" s="7"/>
    </row>
    <row r="15" spans="1:17" ht="32" customHeight="1" x14ac:dyDescent="0.2">
      <c r="A15" s="30"/>
      <c r="B15" s="30"/>
      <c r="C15" s="30"/>
      <c r="D15" s="30"/>
      <c r="E15" s="30"/>
      <c r="F15" s="30"/>
      <c r="G15" s="30"/>
      <c r="H15" s="30"/>
      <c r="I15" s="30"/>
      <c r="J15" s="30"/>
      <c r="K15" s="27"/>
      <c r="L15" s="32" t="s">
        <v>180</v>
      </c>
      <c r="M15" s="32"/>
      <c r="N15" s="32"/>
      <c r="O15" s="32"/>
      <c r="P15" s="18"/>
      <c r="Q15" s="7"/>
    </row>
    <row r="16" spans="1:17" ht="32" customHeight="1" x14ac:dyDescent="0.2">
      <c r="A16" s="34" t="s">
        <v>181</v>
      </c>
      <c r="B16" s="34"/>
      <c r="C16" s="34"/>
      <c r="D16" s="34"/>
      <c r="E16" s="34"/>
      <c r="F16" s="32" t="s">
        <v>182</v>
      </c>
      <c r="G16" s="32"/>
      <c r="H16" s="32"/>
      <c r="I16" s="32"/>
      <c r="J16" s="32"/>
      <c r="K16" s="18"/>
      <c r="L16" s="32" t="s">
        <v>183</v>
      </c>
      <c r="M16" s="32"/>
      <c r="N16" s="32"/>
      <c r="O16" s="32"/>
      <c r="P16" s="18"/>
      <c r="Q16" s="7"/>
    </row>
    <row r="17" spans="1:17" ht="32" customHeight="1" x14ac:dyDescent="0.2">
      <c r="A17" s="31"/>
      <c r="B17" s="31"/>
      <c r="C17" s="31"/>
      <c r="D17" s="31"/>
      <c r="E17" s="31"/>
      <c r="F17" s="32" t="s">
        <v>184</v>
      </c>
      <c r="G17" s="32"/>
      <c r="H17" s="32"/>
      <c r="I17" s="32"/>
      <c r="J17" s="32"/>
      <c r="K17" s="18"/>
      <c r="L17" s="32" t="s">
        <v>185</v>
      </c>
      <c r="M17" s="32"/>
      <c r="N17" s="32"/>
      <c r="O17" s="32"/>
      <c r="P17" s="18"/>
      <c r="Q17" s="7"/>
    </row>
    <row r="18" spans="1:17" ht="32" customHeight="1" x14ac:dyDescent="0.2">
      <c r="A18" s="33" t="s">
        <v>186</v>
      </c>
      <c r="B18" s="33"/>
      <c r="C18" s="33"/>
      <c r="D18" s="33"/>
      <c r="E18" s="33"/>
      <c r="F18" s="32" t="s">
        <v>187</v>
      </c>
      <c r="G18" s="32"/>
      <c r="H18" s="32"/>
      <c r="I18" s="32"/>
      <c r="J18" s="32"/>
      <c r="K18" s="18"/>
      <c r="L18" s="32" t="s">
        <v>188</v>
      </c>
      <c r="M18" s="32"/>
      <c r="N18" s="32"/>
      <c r="O18" s="32"/>
      <c r="P18" s="18"/>
      <c r="Q18" s="7"/>
    </row>
    <row r="19" spans="1:17" ht="32" customHeight="1" x14ac:dyDescent="0.2">
      <c r="A19" s="32"/>
      <c r="B19" s="32"/>
      <c r="C19" s="32"/>
      <c r="D19" s="32"/>
      <c r="E19" s="32"/>
      <c r="F19" s="32" t="s">
        <v>189</v>
      </c>
      <c r="G19" s="32"/>
      <c r="H19" s="32"/>
      <c r="I19" s="32"/>
      <c r="J19" s="32"/>
      <c r="K19" s="18"/>
      <c r="L19" s="32" t="s">
        <v>190</v>
      </c>
      <c r="M19" s="32"/>
      <c r="N19" s="32"/>
      <c r="O19" s="32"/>
      <c r="P19" s="18"/>
      <c r="Q19" s="7"/>
    </row>
    <row r="20" spans="1:17" ht="32" customHeight="1" x14ac:dyDescent="0.2">
      <c r="A20" s="30"/>
      <c r="B20" s="30"/>
      <c r="C20" s="30"/>
      <c r="D20" s="30"/>
      <c r="E20" s="30"/>
      <c r="F20" s="30"/>
      <c r="G20" s="30"/>
      <c r="H20" s="30"/>
      <c r="I20" s="30"/>
      <c r="J20" s="30"/>
      <c r="K20" s="27"/>
      <c r="L20" s="32" t="s">
        <v>191</v>
      </c>
      <c r="M20" s="32"/>
      <c r="N20" s="32"/>
      <c r="O20" s="32"/>
      <c r="P20" s="18"/>
      <c r="Q20" s="7"/>
    </row>
    <row r="21" spans="1:17" ht="32" customHeight="1" x14ac:dyDescent="0.2">
      <c r="A21" s="30"/>
      <c r="B21" s="30"/>
      <c r="C21" s="30"/>
      <c r="D21" s="30"/>
      <c r="E21" s="30"/>
      <c r="F21" s="30"/>
      <c r="G21" s="30"/>
      <c r="H21" s="30"/>
      <c r="I21" s="30"/>
      <c r="J21" s="30"/>
      <c r="K21" s="27"/>
      <c r="L21" s="32" t="s">
        <v>192</v>
      </c>
      <c r="M21" s="32"/>
      <c r="N21" s="32"/>
      <c r="O21" s="32"/>
      <c r="P21" s="18"/>
      <c r="Q21" s="7"/>
    </row>
    <row r="22" spans="1:17" ht="32" customHeight="1" x14ac:dyDescent="0.2">
      <c r="A22" s="33" t="s">
        <v>193</v>
      </c>
      <c r="B22" s="33"/>
      <c r="C22" s="33"/>
      <c r="D22" s="33"/>
      <c r="E22" s="33"/>
      <c r="F22" s="32" t="s">
        <v>194</v>
      </c>
      <c r="G22" s="32"/>
      <c r="H22" s="32"/>
      <c r="I22" s="32"/>
      <c r="J22" s="32"/>
      <c r="K22" s="18"/>
      <c r="L22" s="32" t="s">
        <v>195</v>
      </c>
      <c r="M22" s="32"/>
      <c r="N22" s="32"/>
      <c r="O22" s="32"/>
      <c r="P22" s="18"/>
      <c r="Q22" s="7"/>
    </row>
    <row r="23" spans="1:17" ht="32" customHeight="1" x14ac:dyDescent="0.2">
      <c r="A23" s="32"/>
      <c r="B23" s="32"/>
      <c r="C23" s="32"/>
      <c r="D23" s="32"/>
      <c r="E23" s="32"/>
      <c r="F23" s="32" t="s">
        <v>196</v>
      </c>
      <c r="G23" s="32"/>
      <c r="H23" s="32"/>
      <c r="I23" s="32"/>
      <c r="J23" s="32"/>
      <c r="K23" s="18"/>
      <c r="L23" s="32" t="s">
        <v>197</v>
      </c>
      <c r="M23" s="32"/>
      <c r="N23" s="32"/>
      <c r="O23" s="32"/>
      <c r="P23" s="18"/>
      <c r="Q23" s="7"/>
    </row>
    <row r="24" spans="1:17" ht="32" customHeight="1" x14ac:dyDescent="0.2">
      <c r="A24" s="32"/>
      <c r="B24" s="32"/>
      <c r="C24" s="32"/>
      <c r="D24" s="32"/>
      <c r="E24" s="32"/>
      <c r="F24" s="32" t="s">
        <v>198</v>
      </c>
      <c r="G24" s="32"/>
      <c r="H24" s="32"/>
      <c r="I24" s="32"/>
      <c r="J24" s="32"/>
      <c r="K24" s="18"/>
      <c r="L24" s="32"/>
      <c r="M24" s="32"/>
      <c r="N24" s="32"/>
      <c r="O24" s="32"/>
      <c r="P24" s="18"/>
      <c r="Q24" s="7"/>
    </row>
    <row r="25" spans="1:17" ht="32" customHeight="1" x14ac:dyDescent="0.2">
      <c r="A25" s="33" t="s">
        <v>199</v>
      </c>
      <c r="B25" s="33"/>
      <c r="C25" s="33"/>
      <c r="D25" s="33"/>
      <c r="E25" s="33"/>
      <c r="F25" s="32" t="s">
        <v>200</v>
      </c>
      <c r="G25" s="32"/>
      <c r="H25" s="32"/>
      <c r="I25" s="32"/>
      <c r="J25" s="32"/>
      <c r="K25" s="18"/>
      <c r="L25" s="32" t="s">
        <v>201</v>
      </c>
      <c r="M25" s="32"/>
      <c r="N25" s="32"/>
      <c r="O25" s="32"/>
      <c r="P25" s="18"/>
      <c r="Q25" s="7"/>
    </row>
    <row r="26" spans="1:17" ht="32" customHeight="1" x14ac:dyDescent="0.2">
      <c r="A26" s="32"/>
      <c r="B26" s="32"/>
      <c r="C26" s="32"/>
      <c r="D26" s="32"/>
      <c r="E26" s="32"/>
      <c r="F26" s="32" t="s">
        <v>202</v>
      </c>
      <c r="G26" s="32"/>
      <c r="H26" s="32"/>
      <c r="I26" s="32"/>
      <c r="J26" s="32"/>
      <c r="K26" s="18"/>
      <c r="L26" s="32" t="s">
        <v>203</v>
      </c>
      <c r="M26" s="32"/>
      <c r="N26" s="32"/>
      <c r="O26" s="32"/>
      <c r="P26" s="18"/>
      <c r="Q26" s="7"/>
    </row>
    <row r="27" spans="1:17" ht="32" customHeight="1" x14ac:dyDescent="0.25">
      <c r="A27" s="42"/>
      <c r="B27" s="42"/>
      <c r="C27" s="42"/>
      <c r="D27" s="42"/>
      <c r="E27" s="42"/>
      <c r="F27" s="42"/>
      <c r="G27" s="42"/>
      <c r="H27" s="42"/>
      <c r="I27" s="42"/>
      <c r="J27" s="42"/>
      <c r="K27" s="42"/>
      <c r="L27" s="42"/>
      <c r="M27" s="42"/>
      <c r="N27" s="42"/>
      <c r="O27" s="42"/>
      <c r="P27" s="42"/>
      <c r="Q27" s="7"/>
    </row>
    <row r="28" spans="1:17" x14ac:dyDescent="0.2">
      <c r="A28" s="4"/>
      <c r="B28" s="4"/>
      <c r="C28" s="4"/>
      <c r="D28" s="4"/>
      <c r="E28" s="4"/>
      <c r="F28" s="4"/>
      <c r="G28" s="4"/>
      <c r="H28" s="4"/>
      <c r="I28" s="4"/>
      <c r="J28" s="4"/>
      <c r="K28" s="4"/>
      <c r="L28" s="4"/>
      <c r="M28" s="4"/>
      <c r="N28" s="4"/>
      <c r="O28" s="4"/>
      <c r="P28" s="4"/>
      <c r="Q28" s="2"/>
    </row>
  </sheetData>
  <sheetProtection algorithmName="SHA-512" hashValue="mu9kZH5XQVnnu2/mtct9AZWtcu2gbvGW3yB/KoEIpxBPF2nlwHtHrv8mskxw6+E92c5xtOsJC4XR6JEkB3eclA==" saltValue="6MFHz8uVFVpTxhFcx8YmBA==" spinCount="100000" sheet="1" scenarios="1" selectLockedCells="1"/>
  <mergeCells count="68">
    <mergeCell ref="L26:O26"/>
    <mergeCell ref="L24:O24"/>
    <mergeCell ref="A27:P27"/>
    <mergeCell ref="F18:J18"/>
    <mergeCell ref="F22:J22"/>
    <mergeCell ref="F26:J26"/>
    <mergeCell ref="F24:J24"/>
    <mergeCell ref="A22:E22"/>
    <mergeCell ref="A26:E26"/>
    <mergeCell ref="A25:E25"/>
    <mergeCell ref="A19:E19"/>
    <mergeCell ref="A20:E20"/>
    <mergeCell ref="L25:O25"/>
    <mergeCell ref="F25:J25"/>
    <mergeCell ref="A23:E23"/>
    <mergeCell ref="A24:E24"/>
    <mergeCell ref="A8:P8"/>
    <mergeCell ref="A12:E12"/>
    <mergeCell ref="A13:E13"/>
    <mergeCell ref="A14:E14"/>
    <mergeCell ref="A15:E15"/>
    <mergeCell ref="F12:J12"/>
    <mergeCell ref="F13:J13"/>
    <mergeCell ref="F14:J14"/>
    <mergeCell ref="F15:J15"/>
    <mergeCell ref="L12:O12"/>
    <mergeCell ref="L13:O13"/>
    <mergeCell ref="L10:O10"/>
    <mergeCell ref="L11:O11"/>
    <mergeCell ref="F9:J9"/>
    <mergeCell ref="A9:E9"/>
    <mergeCell ref="A10:E10"/>
    <mergeCell ref="A1:P1"/>
    <mergeCell ref="A4:E4"/>
    <mergeCell ref="A5:E5"/>
    <mergeCell ref="A6:E6"/>
    <mergeCell ref="A7:E7"/>
    <mergeCell ref="F3:P3"/>
    <mergeCell ref="F4:P4"/>
    <mergeCell ref="F5:P5"/>
    <mergeCell ref="A2:P2"/>
    <mergeCell ref="F6:P6"/>
    <mergeCell ref="F7:P7"/>
    <mergeCell ref="A3:E3"/>
    <mergeCell ref="F23:J23"/>
    <mergeCell ref="L23:O23"/>
    <mergeCell ref="L14:O14"/>
    <mergeCell ref="L15:O15"/>
    <mergeCell ref="F16:J16"/>
    <mergeCell ref="L16:O16"/>
    <mergeCell ref="L22:O22"/>
    <mergeCell ref="L18:O18"/>
    <mergeCell ref="L9:O9"/>
    <mergeCell ref="A21:E21"/>
    <mergeCell ref="A17:E17"/>
    <mergeCell ref="F17:J17"/>
    <mergeCell ref="L17:O17"/>
    <mergeCell ref="L19:O19"/>
    <mergeCell ref="L20:O20"/>
    <mergeCell ref="L21:O21"/>
    <mergeCell ref="F19:J19"/>
    <mergeCell ref="F20:J20"/>
    <mergeCell ref="F21:J21"/>
    <mergeCell ref="F10:J10"/>
    <mergeCell ref="F11:J11"/>
    <mergeCell ref="A11:E11"/>
    <mergeCell ref="A16:E16"/>
    <mergeCell ref="A18:E18"/>
  </mergeCells>
  <pageMargins left="0.7" right="0.7" top="0.75" bottom="0.75" header="0.3" footer="0.3"/>
  <pageSetup paperSize="9" orientation="portrait" horizontalDpi="0" verticalDpi="0"/>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422C336-25B3-9F41-BB24-41F1EAF94FC2}">
          <x14:formula1>
            <xm:f>List!$A$40:$A$44</xm:f>
          </x14:formula1>
          <xm:sqref>K16:K19 K22:K26 K10:K11 P10:P23 P25:P26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CE9F2-81CE-6042-925A-6A1AC9E02A63}">
  <sheetPr codeName="Sheet5"/>
  <dimension ref="A1:AY56"/>
  <sheetViews>
    <sheetView topLeftCell="A25" zoomScale="80" zoomScaleNormal="80" workbookViewId="0">
      <selection activeCell="AA12" sqref="AA12"/>
    </sheetView>
  </sheetViews>
  <sheetFormatPr baseColWidth="10" defaultColWidth="11" defaultRowHeight="16" x14ac:dyDescent="0.2"/>
  <cols>
    <col min="1" max="1" width="21.5" customWidth="1"/>
    <col min="2" max="2" width="21.6640625" customWidth="1"/>
    <col min="10" max="10" width="32.33203125" customWidth="1"/>
    <col min="11" max="11" width="32.5" customWidth="1"/>
    <col min="12" max="13" width="32.33203125" customWidth="1"/>
    <col min="14" max="14" width="32.5" customWidth="1"/>
    <col min="15" max="15" width="32.33203125" customWidth="1"/>
    <col min="16" max="16" width="32.5" customWidth="1"/>
    <col min="19" max="19" width="32.6640625" customWidth="1"/>
  </cols>
  <sheetData>
    <row r="1" spans="1:51" ht="102" x14ac:dyDescent="0.2">
      <c r="A1" t="s">
        <v>204</v>
      </c>
      <c r="J1" s="2" t="s">
        <v>205</v>
      </c>
      <c r="K1" s="2" t="s">
        <v>206</v>
      </c>
      <c r="L1" s="2" t="s">
        <v>207</v>
      </c>
      <c r="M1" s="2" t="s">
        <v>208</v>
      </c>
      <c r="N1" s="2" t="s">
        <v>209</v>
      </c>
      <c r="O1" s="2" t="s">
        <v>210</v>
      </c>
      <c r="P1" s="2" t="s">
        <v>211</v>
      </c>
      <c r="S1" s="2" t="s">
        <v>212</v>
      </c>
      <c r="W1" s="2" t="s">
        <v>213</v>
      </c>
      <c r="X1" s="2" t="s">
        <v>131</v>
      </c>
      <c r="Y1" s="2" t="s">
        <v>214</v>
      </c>
      <c r="Z1" s="2" t="s">
        <v>215</v>
      </c>
      <c r="AA1" s="2" t="s">
        <v>216</v>
      </c>
      <c r="AC1" s="2" t="s">
        <v>132</v>
      </c>
      <c r="AD1" s="2" t="s">
        <v>217</v>
      </c>
      <c r="AE1" s="2" t="s">
        <v>218</v>
      </c>
      <c r="AG1" s="2" t="s">
        <v>219</v>
      </c>
      <c r="AH1" s="2" t="s">
        <v>220</v>
      </c>
      <c r="AI1" s="2" t="s">
        <v>221</v>
      </c>
      <c r="AK1" s="2" t="s">
        <v>222</v>
      </c>
      <c r="AL1" s="14" t="s">
        <v>223</v>
      </c>
      <c r="AM1" s="2" t="s">
        <v>224</v>
      </c>
      <c r="AN1" s="2" t="s">
        <v>225</v>
      </c>
      <c r="AO1" s="2" t="s">
        <v>226</v>
      </c>
      <c r="AP1" s="2" t="s">
        <v>227</v>
      </c>
      <c r="AQ1" s="2" t="s">
        <v>228</v>
      </c>
      <c r="AR1" s="2" t="s">
        <v>229</v>
      </c>
      <c r="AS1" s="2" t="s">
        <v>230</v>
      </c>
      <c r="AU1" s="2" t="s">
        <v>231</v>
      </c>
      <c r="AV1" s="2" t="s">
        <v>232</v>
      </c>
      <c r="AW1" s="2" t="s">
        <v>233</v>
      </c>
      <c r="AX1" s="2" t="s">
        <v>234</v>
      </c>
      <c r="AY1" s="2" t="s">
        <v>235</v>
      </c>
    </row>
    <row r="2" spans="1:51" ht="136" x14ac:dyDescent="0.2">
      <c r="A2" t="s">
        <v>236</v>
      </c>
      <c r="J2" s="2" t="s">
        <v>237</v>
      </c>
      <c r="K2" s="2" t="s">
        <v>238</v>
      </c>
      <c r="L2" s="2" t="s">
        <v>239</v>
      </c>
      <c r="M2" s="2" t="s">
        <v>240</v>
      </c>
      <c r="N2" s="2" t="s">
        <v>241</v>
      </c>
      <c r="O2" s="2" t="s">
        <v>242</v>
      </c>
      <c r="P2" s="2" t="s">
        <v>243</v>
      </c>
      <c r="S2" s="2" t="s">
        <v>244</v>
      </c>
      <c r="W2" s="2" t="s">
        <v>131</v>
      </c>
      <c r="X2" s="2" t="s">
        <v>132</v>
      </c>
      <c r="Y2" s="2" t="s">
        <v>219</v>
      </c>
      <c r="Z2" s="2" t="s">
        <v>222</v>
      </c>
      <c r="AA2" s="2" t="s">
        <v>231</v>
      </c>
      <c r="AC2" s="2" t="s">
        <v>245</v>
      </c>
      <c r="AD2" s="2" t="s">
        <v>246</v>
      </c>
      <c r="AE2" s="2" t="s">
        <v>247</v>
      </c>
      <c r="AG2" s="2" t="s">
        <v>248</v>
      </c>
      <c r="AH2" s="2" t="s">
        <v>249</v>
      </c>
      <c r="AI2" s="2" t="s">
        <v>250</v>
      </c>
      <c r="AL2" s="2" t="s">
        <v>251</v>
      </c>
      <c r="AM2" s="2" t="s">
        <v>252</v>
      </c>
      <c r="AN2" s="2" t="s">
        <v>253</v>
      </c>
      <c r="AO2" s="2" t="s">
        <v>254</v>
      </c>
      <c r="AP2" s="2" t="s">
        <v>255</v>
      </c>
      <c r="AQ2" s="2" t="s">
        <v>256</v>
      </c>
      <c r="AR2" s="2" t="s">
        <v>257</v>
      </c>
      <c r="AS2" s="2" t="s">
        <v>258</v>
      </c>
      <c r="AU2" s="2" t="s">
        <v>259</v>
      </c>
      <c r="AV2" s="2" t="s">
        <v>260</v>
      </c>
      <c r="AW2" s="2" t="s">
        <v>261</v>
      </c>
      <c r="AX2" s="2" t="s">
        <v>262</v>
      </c>
      <c r="AY2" s="2" t="s">
        <v>263</v>
      </c>
    </row>
    <row r="3" spans="1:51" ht="85" x14ac:dyDescent="0.2">
      <c r="A3" t="s">
        <v>264</v>
      </c>
      <c r="J3" s="2" t="s">
        <v>265</v>
      </c>
      <c r="K3" s="2" t="s">
        <v>266</v>
      </c>
      <c r="L3" s="2" t="s">
        <v>267</v>
      </c>
      <c r="M3" s="2" t="s">
        <v>268</v>
      </c>
      <c r="N3" s="2" t="s">
        <v>269</v>
      </c>
      <c r="O3" s="2" t="s">
        <v>270</v>
      </c>
      <c r="P3" s="2" t="s">
        <v>271</v>
      </c>
      <c r="S3" s="2" t="s">
        <v>272</v>
      </c>
      <c r="W3" s="2" t="s">
        <v>214</v>
      </c>
      <c r="X3" s="2" t="s">
        <v>217</v>
      </c>
      <c r="Y3" s="2" t="s">
        <v>220</v>
      </c>
      <c r="Z3" s="2" t="s">
        <v>223</v>
      </c>
      <c r="AA3" s="2" t="s">
        <v>232</v>
      </c>
      <c r="AC3" s="2" t="s">
        <v>273</v>
      </c>
      <c r="AD3" s="2" t="s">
        <v>274</v>
      </c>
      <c r="AE3" s="2" t="s">
        <v>275</v>
      </c>
      <c r="AG3" s="2" t="s">
        <v>276</v>
      </c>
      <c r="AH3" s="2" t="s">
        <v>277</v>
      </c>
      <c r="AI3" s="2" t="s">
        <v>278</v>
      </c>
      <c r="AL3" s="2" t="s">
        <v>279</v>
      </c>
      <c r="AM3" s="2" t="s">
        <v>280</v>
      </c>
      <c r="AN3" s="2" t="s">
        <v>281</v>
      </c>
      <c r="AO3" s="2" t="s">
        <v>282</v>
      </c>
      <c r="AP3" s="2" t="s">
        <v>283</v>
      </c>
      <c r="AQ3" s="2" t="s">
        <v>284</v>
      </c>
      <c r="AR3" s="2" t="s">
        <v>285</v>
      </c>
      <c r="AS3" s="2" t="s">
        <v>286</v>
      </c>
      <c r="AU3" s="2" t="s">
        <v>287</v>
      </c>
      <c r="AV3" s="2" t="s">
        <v>288</v>
      </c>
      <c r="AW3" s="2" t="s">
        <v>289</v>
      </c>
      <c r="AX3" s="2" t="s">
        <v>290</v>
      </c>
      <c r="AY3" s="2" t="s">
        <v>291</v>
      </c>
    </row>
    <row r="4" spans="1:51" ht="68" x14ac:dyDescent="0.2">
      <c r="A4" t="s">
        <v>292</v>
      </c>
      <c r="J4" s="2" t="s">
        <v>293</v>
      </c>
      <c r="K4" s="2" t="s">
        <v>294</v>
      </c>
      <c r="L4" s="2" t="s">
        <v>295</v>
      </c>
      <c r="M4" s="2" t="s">
        <v>296</v>
      </c>
      <c r="N4" s="2" t="s">
        <v>297</v>
      </c>
      <c r="O4" s="2" t="s">
        <v>298</v>
      </c>
      <c r="P4" s="2" t="s">
        <v>299</v>
      </c>
      <c r="S4" s="2" t="s">
        <v>300</v>
      </c>
      <c r="W4" s="2" t="s">
        <v>215</v>
      </c>
      <c r="X4" s="2" t="s">
        <v>218</v>
      </c>
      <c r="Y4" s="2" t="s">
        <v>221</v>
      </c>
      <c r="Z4" s="2" t="s">
        <v>224</v>
      </c>
      <c r="AA4" s="2" t="s">
        <v>233</v>
      </c>
      <c r="AC4" s="2" t="s">
        <v>301</v>
      </c>
      <c r="AD4" s="2" t="s">
        <v>302</v>
      </c>
      <c r="AG4" s="2" t="s">
        <v>303</v>
      </c>
      <c r="AI4" s="2" t="s">
        <v>304</v>
      </c>
      <c r="AL4" s="2" t="s">
        <v>305</v>
      </c>
      <c r="AM4" s="2" t="s">
        <v>306</v>
      </c>
      <c r="AN4" s="2" t="s">
        <v>307</v>
      </c>
      <c r="AP4" s="2" t="s">
        <v>308</v>
      </c>
      <c r="AQ4" s="2" t="s">
        <v>309</v>
      </c>
      <c r="AR4" s="2" t="s">
        <v>310</v>
      </c>
      <c r="AS4" s="2" t="s">
        <v>311</v>
      </c>
    </row>
    <row r="5" spans="1:51" ht="51" x14ac:dyDescent="0.2">
      <c r="J5" s="2" t="s">
        <v>312</v>
      </c>
      <c r="K5" s="2" t="s">
        <v>313</v>
      </c>
      <c r="L5" s="2" t="s">
        <v>314</v>
      </c>
      <c r="M5" s="2" t="s">
        <v>315</v>
      </c>
      <c r="N5" s="2" t="s">
        <v>316</v>
      </c>
      <c r="P5" s="2" t="s">
        <v>317</v>
      </c>
      <c r="S5" s="2" t="s">
        <v>318</v>
      </c>
      <c r="W5" s="2" t="s">
        <v>216</v>
      </c>
      <c r="X5" s="2"/>
      <c r="Y5" s="2"/>
      <c r="Z5" s="2" t="s">
        <v>225</v>
      </c>
      <c r="AA5" s="2" t="s">
        <v>234</v>
      </c>
      <c r="AM5" s="2" t="s">
        <v>319</v>
      </c>
      <c r="AN5" s="2" t="s">
        <v>320</v>
      </c>
      <c r="AQ5" s="2" t="s">
        <v>321</v>
      </c>
      <c r="AR5" s="2" t="s">
        <v>322</v>
      </c>
      <c r="AS5" s="2" t="s">
        <v>323</v>
      </c>
    </row>
    <row r="6" spans="1:51" ht="51" x14ac:dyDescent="0.2">
      <c r="A6" t="s">
        <v>96</v>
      </c>
      <c r="J6" s="2" t="s">
        <v>324</v>
      </c>
      <c r="K6" s="2" t="s">
        <v>325</v>
      </c>
      <c r="L6" s="2" t="s">
        <v>326</v>
      </c>
      <c r="M6" s="2" t="s">
        <v>327</v>
      </c>
      <c r="N6" s="2" t="s">
        <v>328</v>
      </c>
      <c r="P6" s="2" t="s">
        <v>329</v>
      </c>
      <c r="S6" s="2" t="s">
        <v>330</v>
      </c>
      <c r="W6" s="2"/>
      <c r="X6" s="2"/>
      <c r="Y6" s="2"/>
      <c r="Z6" s="2" t="s">
        <v>226</v>
      </c>
      <c r="AA6" s="2" t="s">
        <v>235</v>
      </c>
      <c r="AM6" s="2" t="s">
        <v>331</v>
      </c>
      <c r="AR6" s="2" t="s">
        <v>332</v>
      </c>
      <c r="AS6" s="2" t="s">
        <v>333</v>
      </c>
    </row>
    <row r="7" spans="1:51" ht="68" x14ac:dyDescent="0.2">
      <c r="A7" t="s">
        <v>99</v>
      </c>
      <c r="J7" s="2" t="s">
        <v>334</v>
      </c>
      <c r="K7" s="2" t="s">
        <v>335</v>
      </c>
      <c r="L7" s="2" t="s">
        <v>336</v>
      </c>
      <c r="M7" s="2" t="s">
        <v>337</v>
      </c>
      <c r="N7" s="2" t="s">
        <v>338</v>
      </c>
      <c r="P7" s="2" t="s">
        <v>339</v>
      </c>
      <c r="S7" s="2" t="s">
        <v>340</v>
      </c>
      <c r="W7" s="2"/>
      <c r="X7" s="2"/>
      <c r="Y7" s="2"/>
      <c r="Z7" s="2" t="s">
        <v>227</v>
      </c>
      <c r="AA7" s="2"/>
      <c r="AS7" s="2" t="s">
        <v>341</v>
      </c>
    </row>
    <row r="8" spans="1:51" ht="51" x14ac:dyDescent="0.2">
      <c r="A8" t="s">
        <v>102</v>
      </c>
      <c r="J8" s="2" t="s">
        <v>342</v>
      </c>
      <c r="K8" s="2" t="s">
        <v>343</v>
      </c>
      <c r="L8" s="2" t="s">
        <v>344</v>
      </c>
      <c r="M8" s="2" t="s">
        <v>345</v>
      </c>
      <c r="N8" s="2" t="s">
        <v>346</v>
      </c>
      <c r="P8" s="2" t="s">
        <v>347</v>
      </c>
      <c r="S8" s="2" t="s">
        <v>348</v>
      </c>
      <c r="Z8" s="2" t="s">
        <v>228</v>
      </c>
    </row>
    <row r="9" spans="1:51" ht="51" x14ac:dyDescent="0.2">
      <c r="A9" t="s">
        <v>349</v>
      </c>
      <c r="J9" s="2" t="s">
        <v>350</v>
      </c>
      <c r="K9" s="2" t="s">
        <v>351</v>
      </c>
      <c r="L9" s="2" t="s">
        <v>352</v>
      </c>
      <c r="M9" s="2" t="s">
        <v>353</v>
      </c>
      <c r="N9" s="2" t="s">
        <v>354</v>
      </c>
      <c r="P9" s="2" t="s">
        <v>355</v>
      </c>
      <c r="S9" s="2" t="s">
        <v>356</v>
      </c>
      <c r="Z9" s="2" t="s">
        <v>229</v>
      </c>
    </row>
    <row r="10" spans="1:51" ht="34" x14ac:dyDescent="0.2">
      <c r="P10" s="2" t="s">
        <v>357</v>
      </c>
      <c r="S10" s="2" t="s">
        <v>358</v>
      </c>
      <c r="Z10" s="2" t="s">
        <v>230</v>
      </c>
    </row>
    <row r="11" spans="1:51" ht="34" x14ac:dyDescent="0.2">
      <c r="A11" t="s">
        <v>97</v>
      </c>
      <c r="S11" s="2" t="s">
        <v>359</v>
      </c>
    </row>
    <row r="12" spans="1:51" ht="51" x14ac:dyDescent="0.2">
      <c r="A12" t="s">
        <v>100</v>
      </c>
      <c r="S12" s="2" t="s">
        <v>360</v>
      </c>
    </row>
    <row r="13" spans="1:51" ht="17" x14ac:dyDescent="0.2">
      <c r="A13" t="s">
        <v>104</v>
      </c>
      <c r="S13" s="2" t="s">
        <v>361</v>
      </c>
    </row>
    <row r="14" spans="1:51" ht="51" x14ac:dyDescent="0.2">
      <c r="A14" s="13"/>
      <c r="S14" s="2" t="s">
        <v>362</v>
      </c>
      <c r="X14" s="2" t="s">
        <v>363</v>
      </c>
    </row>
    <row r="15" spans="1:51" ht="51" x14ac:dyDescent="0.2">
      <c r="A15" t="s">
        <v>131</v>
      </c>
      <c r="X15" s="2" t="s">
        <v>364</v>
      </c>
    </row>
    <row r="16" spans="1:51" ht="51" x14ac:dyDescent="0.2">
      <c r="A16" t="s">
        <v>214</v>
      </c>
      <c r="X16" s="2" t="s">
        <v>365</v>
      </c>
    </row>
    <row r="17" spans="1:24" ht="68" x14ac:dyDescent="0.2">
      <c r="A17" t="s">
        <v>215</v>
      </c>
      <c r="X17" s="2" t="s">
        <v>366</v>
      </c>
    </row>
    <row r="18" spans="1:24" ht="34" x14ac:dyDescent="0.2">
      <c r="A18" t="s">
        <v>216</v>
      </c>
      <c r="X18" s="2" t="s">
        <v>367</v>
      </c>
    </row>
    <row r="19" spans="1:24" ht="51" x14ac:dyDescent="0.2">
      <c r="A19" s="13"/>
      <c r="L19" s="5"/>
      <c r="X19" s="2" t="s">
        <v>368</v>
      </c>
    </row>
    <row r="20" spans="1:24" ht="51" x14ac:dyDescent="0.2">
      <c r="A20" t="s">
        <v>38</v>
      </c>
      <c r="X20" s="2" t="s">
        <v>369</v>
      </c>
    </row>
    <row r="21" spans="1:24" ht="51" x14ac:dyDescent="0.2">
      <c r="A21" t="s">
        <v>370</v>
      </c>
      <c r="X21" s="2" t="s">
        <v>371</v>
      </c>
    </row>
    <row r="22" spans="1:24" ht="85" x14ac:dyDescent="0.2">
      <c r="A22" t="s">
        <v>372</v>
      </c>
      <c r="X22" s="2" t="s">
        <v>373</v>
      </c>
    </row>
    <row r="23" spans="1:24" ht="51" x14ac:dyDescent="0.2">
      <c r="A23" t="s">
        <v>374</v>
      </c>
      <c r="X23" s="2" t="s">
        <v>375</v>
      </c>
    </row>
    <row r="24" spans="1:24" ht="51" x14ac:dyDescent="0.2">
      <c r="X24" s="2" t="s">
        <v>376</v>
      </c>
    </row>
    <row r="25" spans="1:24" ht="68" x14ac:dyDescent="0.2">
      <c r="A25" t="s">
        <v>377</v>
      </c>
      <c r="X25" s="2" t="s">
        <v>378</v>
      </c>
    </row>
    <row r="26" spans="1:24" ht="51" x14ac:dyDescent="0.2">
      <c r="A26" t="s">
        <v>379</v>
      </c>
      <c r="X26" s="2" t="s">
        <v>380</v>
      </c>
    </row>
    <row r="27" spans="1:24" ht="51" x14ac:dyDescent="0.2">
      <c r="A27" t="s">
        <v>381</v>
      </c>
      <c r="X27" s="2" t="s">
        <v>382</v>
      </c>
    </row>
    <row r="28" spans="1:24" ht="51" x14ac:dyDescent="0.2">
      <c r="A28" t="s">
        <v>383</v>
      </c>
      <c r="X28" s="2" t="s">
        <v>384</v>
      </c>
    </row>
    <row r="29" spans="1:24" ht="51" x14ac:dyDescent="0.2">
      <c r="X29" s="2" t="s">
        <v>385</v>
      </c>
    </row>
    <row r="30" spans="1:24" ht="51" x14ac:dyDescent="0.2">
      <c r="A30" t="s">
        <v>95</v>
      </c>
      <c r="B30">
        <v>1</v>
      </c>
      <c r="D30" s="15"/>
      <c r="X30" s="2" t="s">
        <v>386</v>
      </c>
    </row>
    <row r="31" spans="1:24" ht="51" x14ac:dyDescent="0.2">
      <c r="A31" t="s">
        <v>98</v>
      </c>
      <c r="B31">
        <v>2</v>
      </c>
      <c r="X31" s="2" t="s">
        <v>387</v>
      </c>
    </row>
    <row r="32" spans="1:24" ht="68" x14ac:dyDescent="0.2">
      <c r="A32" t="s">
        <v>101</v>
      </c>
      <c r="B32">
        <v>3</v>
      </c>
      <c r="X32" s="2" t="s">
        <v>388</v>
      </c>
    </row>
    <row r="33" spans="1:24" ht="51" x14ac:dyDescent="0.2">
      <c r="A33" t="s">
        <v>349</v>
      </c>
      <c r="B33">
        <v>0</v>
      </c>
      <c r="X33" s="2" t="s">
        <v>389</v>
      </c>
    </row>
    <row r="35" spans="1:24" x14ac:dyDescent="0.2">
      <c r="A35" t="s">
        <v>97</v>
      </c>
    </row>
    <row r="36" spans="1:24" x14ac:dyDescent="0.2">
      <c r="A36" t="s">
        <v>100</v>
      </c>
    </row>
    <row r="37" spans="1:24" x14ac:dyDescent="0.2">
      <c r="A37" t="s">
        <v>104</v>
      </c>
    </row>
    <row r="38" spans="1:24" x14ac:dyDescent="0.2">
      <c r="A38" t="s">
        <v>349</v>
      </c>
    </row>
    <row r="40" spans="1:24" x14ac:dyDescent="0.2">
      <c r="A40" t="s">
        <v>97</v>
      </c>
    </row>
    <row r="41" spans="1:24" x14ac:dyDescent="0.2">
      <c r="A41" t="s">
        <v>100</v>
      </c>
    </row>
    <row r="42" spans="1:24" x14ac:dyDescent="0.2">
      <c r="A42" t="s">
        <v>103</v>
      </c>
    </row>
    <row r="43" spans="1:24" x14ac:dyDescent="0.2">
      <c r="A43" t="s">
        <v>104</v>
      </c>
    </row>
    <row r="44" spans="1:24" x14ac:dyDescent="0.2">
      <c r="A44" t="s">
        <v>349</v>
      </c>
    </row>
    <row r="48" spans="1:24" x14ac:dyDescent="0.2">
      <c r="A48" t="s">
        <v>390</v>
      </c>
    </row>
    <row r="49" spans="1:1" x14ac:dyDescent="0.2">
      <c r="A49" t="s">
        <v>391</v>
      </c>
    </row>
    <row r="50" spans="1:1" x14ac:dyDescent="0.2">
      <c r="A50" t="s">
        <v>392</v>
      </c>
    </row>
    <row r="51" spans="1:1" x14ac:dyDescent="0.2">
      <c r="A51" t="s">
        <v>393</v>
      </c>
    </row>
    <row r="52" spans="1:1" x14ac:dyDescent="0.2">
      <c r="A52" t="s">
        <v>394</v>
      </c>
    </row>
    <row r="53" spans="1:1" x14ac:dyDescent="0.2">
      <c r="A53" t="s">
        <v>395</v>
      </c>
    </row>
    <row r="54" spans="1:1" x14ac:dyDescent="0.2">
      <c r="A54" t="s">
        <v>396</v>
      </c>
    </row>
    <row r="55" spans="1:1" x14ac:dyDescent="0.2">
      <c r="A55" t="s">
        <v>397</v>
      </c>
    </row>
    <row r="56" spans="1:1" x14ac:dyDescent="0.2">
      <c r="A56" t="s">
        <v>398</v>
      </c>
    </row>
  </sheetData>
  <sheetProtection algorithmName="SHA-512" hashValue="oiayvetodj0zJSnNHKHJdfv4z7u5LS+KMnCtRmzTKaJ1fs2BrYSCMYHjB/BssgOpvqdbeJtY29We+CDRIyJuwg==" saltValue="uePNsBHbwcxeVvQa13YlCw==" spinCount="100000" sheet="1" objects="1" scenarios="1"/>
  <pageMargins left="0.7" right="0.7" top="0.75" bottom="0.75" header="0.3" footer="0.3"/>
  <pageSetup paperSize="9"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Team Document" ma:contentTypeID="0x010100A35317DCC28344A7B82488658A034A5C0100AE5489423149014CBFD35292C41D3A0E" ma:contentTypeVersion="11" ma:contentTypeDescription=" " ma:contentTypeScope="" ma:versionID="5c06e4926228d3274deb3e93e52b7153">
  <xsd:schema xmlns:xsd="http://www.w3.org/2001/XMLSchema" xmlns:xs="http://www.w3.org/2001/XMLSchema" xmlns:p="http://schemas.microsoft.com/office/2006/metadata/properties" xmlns:ns2="6b671bde-164d-4f2b-a1e1-9f14f15e7ca3" xmlns:ns3="2f6a910d-138e-42c1-8e8a-320c1b7cf3f7" xmlns:ns5="553f730d-4b07-4789-b89b-1394bf59d0f9" targetNamespace="http://schemas.microsoft.com/office/2006/metadata/properties" ma:root="true" ma:fieldsID="2171a7012aa3e488abc91611ce1a4614" ns2:_="" ns3:_="" ns5:_="">
    <xsd:import namespace="6b671bde-164d-4f2b-a1e1-9f14f15e7ca3"/>
    <xsd:import namespace="2f6a910d-138e-42c1-8e8a-320c1b7cf3f7"/>
    <xsd:import namespace="553f730d-4b07-4789-b89b-1394bf59d0f9"/>
    <xsd:element name="properties">
      <xsd:complexType>
        <xsd:sequence>
          <xsd:element name="documentManagement">
            <xsd:complexType>
              <xsd:all>
                <xsd:element ref="ns2:_dlc_DocId" minOccurs="0"/>
                <xsd:element ref="ns2:_dlc_DocIdUrl" minOccurs="0"/>
                <xsd:element ref="ns2:_dlc_DocIdPersistId" minOccurs="0"/>
                <xsd:element ref="ns3:TNOC_ClusterName" minOccurs="0"/>
                <xsd:element ref="ns3:TNOC_ClusterId" minOccurs="0"/>
                <xsd:element ref="ns2:h15fbb78f4cb41d290e72f301ea2865f" minOccurs="0"/>
                <xsd:element ref="ns2:TaxCatchAll" minOccurs="0"/>
                <xsd:element ref="ns2:TaxCatchAllLabel" minOccurs="0"/>
                <xsd:element ref="ns2:n2a7a23bcc2241cb9261f9a914c7c1bb" minOccurs="0"/>
                <xsd:element ref="ns2:lca20d149a844688b6abf34073d5c21d" minOccurs="0"/>
                <xsd:element ref="ns2:cf581d8792c646118aad2c2c4ecdfa8c" minOccurs="0"/>
                <xsd:element ref="ns2:bac4ab11065f4f6c809c820c57e320e5" minOccurs="0"/>
                <xsd:element ref="ns5:MediaServiceMetadata" minOccurs="0"/>
                <xsd:element ref="ns5:MediaServiceFastMetadata" minOccurs="0"/>
                <xsd:element ref="ns5:MediaServiceObjectDetectorVersions" minOccurs="0"/>
                <xsd:element ref="ns5:lcf76f155ced4ddcb4097134ff3c332f" minOccurs="0"/>
                <xsd:element ref="ns5:MediaServiceOCR" minOccurs="0"/>
                <xsd:element ref="ns5:MediaServiceGenerationTime" minOccurs="0"/>
                <xsd:element ref="ns5:MediaServiceEventHashCode" minOccurs="0"/>
                <xsd:element ref="ns5:MediaServiceSearchProperties" minOccurs="0"/>
                <xsd:element ref="ns5: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b671bde-164d-4f2b-a1e1-9f14f15e7ca3"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h15fbb78f4cb41d290e72f301ea2865f" ma:index="13" nillable="true" ma:taxonomy="true" ma:internalName="h15fbb78f4cb41d290e72f301ea2865f" ma:taxonomyFieldName="TNOC_ClusterType" ma:displayName="Cluster type" ma:default="1;#Project|fa11c4c9-105f-402c-bb40-9a56b4989397" ma:fieldId="{115fbb78-f4cb-41d2-90e7-2f301ea2865f}" ma:sspId="7378aa68-586f-4892-bb77-0985b40f41a6" ma:termSetId="e7feef8e-5ede-44cd-b7d5-7ed7dacef0b4" ma:anchorId="00000000-0000-0000-0000-000000000000" ma:open="false" ma:isKeyword="false">
      <xsd:complexType>
        <xsd:sequence>
          <xsd:element ref="pc:Terms" minOccurs="0" maxOccurs="1"/>
        </xsd:sequence>
      </xsd:complexType>
    </xsd:element>
    <xsd:element name="TaxCatchAll" ma:index="14" nillable="true" ma:displayName="Taxonomy Catch All Column" ma:hidden="true" ma:list="{17ff898e-5e21-4b1d-ac3f-2f420acbfe8b}" ma:internalName="TaxCatchAll" ma:showField="CatchAllData" ma:web="6b671bde-164d-4f2b-a1e1-9f14f15e7ca3">
      <xsd:complexType>
        <xsd:complexContent>
          <xsd:extension base="dms:MultiChoiceLookup">
            <xsd:sequence>
              <xsd:element name="Value" type="dms:Lookup" maxOccurs="unbounded" minOccurs="0" nillable="true"/>
            </xsd:sequence>
          </xsd:extension>
        </xsd:complexContent>
      </xsd:complexType>
    </xsd:element>
    <xsd:element name="TaxCatchAllLabel" ma:index="15" nillable="true" ma:displayName="Taxonomy Catch All Column1" ma:hidden="true" ma:list="{17ff898e-5e21-4b1d-ac3f-2f420acbfe8b}" ma:internalName="TaxCatchAllLabel" ma:readOnly="true" ma:showField="CatchAllDataLabel" ma:web="6b671bde-164d-4f2b-a1e1-9f14f15e7ca3">
      <xsd:complexType>
        <xsd:complexContent>
          <xsd:extension base="dms:MultiChoiceLookup">
            <xsd:sequence>
              <xsd:element name="Value" type="dms:Lookup" maxOccurs="unbounded" minOccurs="0" nillable="true"/>
            </xsd:sequence>
          </xsd:extension>
        </xsd:complexContent>
      </xsd:complexType>
    </xsd:element>
    <xsd:element name="n2a7a23bcc2241cb9261f9a914c7c1bb" ma:index="17" nillable="true" ma:taxonomy="true" ma:internalName="n2a7a23bcc2241cb9261f9a914c7c1bb" ma:taxonomyFieldName="TNOC_DocumentClassification" ma:displayName="Document classification" ma:default="5;#TNO Internal|1a23c89f-ef54-4907-86fd-8242403ff722" ma:fieldId="{72a7a23b-cc22-41cb-9261-f9a914c7c1bb}" ma:sspId="7378aa68-586f-4892-bb77-0985b40f41a6" ma:termSetId="ff8f31fd-7572-41dc-9fe4-bd4c6d280f39" ma:anchorId="00000000-0000-0000-0000-000000000000" ma:open="false" ma:isKeyword="false">
      <xsd:complexType>
        <xsd:sequence>
          <xsd:element ref="pc:Terms" minOccurs="0" maxOccurs="1"/>
        </xsd:sequence>
      </xsd:complexType>
    </xsd:element>
    <xsd:element name="lca20d149a844688b6abf34073d5c21d" ma:index="19" nillable="true" ma:taxonomy="true" ma:internalName="lca20d149a844688b6abf34073d5c21d" ma:taxonomyFieldName="TNOC_DocumentType" ma:displayName="Document type" ma:fieldId="{5ca20d14-9a84-4688-b6ab-f34073d5c21d}" ma:sspId="7378aa68-586f-4892-bb77-0985b40f41a6" ma:termSetId="e8a13a9e-c4f3-4184-b8d9-8210abad4948" ma:anchorId="00000000-0000-0000-0000-000000000000" ma:open="false" ma:isKeyword="false">
      <xsd:complexType>
        <xsd:sequence>
          <xsd:element ref="pc:Terms" minOccurs="0" maxOccurs="1"/>
        </xsd:sequence>
      </xsd:complexType>
    </xsd:element>
    <xsd:element name="cf581d8792c646118aad2c2c4ecdfa8c" ma:index="22" nillable="true" ma:taxonomy="true" ma:internalName="cf581d8792c646118aad2c2c4ecdfa8c" ma:taxonomyFieldName="TNOC_DocumentSetType" ma:displayName="Document set type" ma:readOnly="false" ma:fieldId="{cf581d87-92c6-4611-8aad-2c2c4ecdfa8c}" ma:sspId="7378aa68-586f-4892-bb77-0985b40f41a6" ma:termSetId="a8d4306b-62bf-468f-9587-ff078c864327" ma:anchorId="00000000-0000-0000-0000-000000000000" ma:open="false" ma:isKeyword="false">
      <xsd:complexType>
        <xsd:sequence>
          <xsd:element ref="pc:Terms" minOccurs="0" maxOccurs="1"/>
        </xsd:sequence>
      </xsd:complexType>
    </xsd:element>
    <xsd:element name="bac4ab11065f4f6c809c820c57e320e5" ma:index="24" nillable="true" ma:taxonomy="true" ma:internalName="bac4ab11065f4f6c809c820c57e320e5" ma:taxonomyFieldName="TNOC_DocumentCategory" ma:displayName="Document category" ma:fieldId="{bac4ab11-065f-4f6c-809c-820c57e320e5}" ma:sspId="7378aa68-586f-4892-bb77-0985b40f41a6" ma:termSetId="94d42b6a-4155-4fa6-95e9-087bc306ceb3"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2f6a910d-138e-42c1-8e8a-320c1b7cf3f7" elementFormDefault="qualified">
    <xsd:import namespace="http://schemas.microsoft.com/office/2006/documentManagement/types"/>
    <xsd:import namespace="http://schemas.microsoft.com/office/infopath/2007/PartnerControls"/>
    <xsd:element name="TNOC_ClusterName" ma:index="11" nillable="true" ma:displayName="Cluster name" ma:default="Horizon SSRI-01-02A Knowledge Network" ma:internalName="TNOC_ClusterName">
      <xsd:simpleType>
        <xsd:restriction base="dms:Text">
          <xsd:maxLength value="255"/>
        </xsd:restriction>
      </xsd:simpleType>
    </xsd:element>
    <xsd:element name="TNOC_ClusterId" ma:index="12" nillable="true" ma:displayName="Cluster ID" ma:default="060.54638" ma:internalName="TNOC_ClusterId">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53f730d-4b07-4789-b89b-1394bf59d0f9" elementFormDefault="qualified">
    <xsd:import namespace="http://schemas.microsoft.com/office/2006/documentManagement/types"/>
    <xsd:import namespace="http://schemas.microsoft.com/office/infopath/2007/PartnerControls"/>
    <xsd:element name="MediaServiceMetadata" ma:index="26" nillable="true" ma:displayName="MediaServiceMetadata" ma:hidden="true" ma:internalName="MediaServiceMetadata" ma:readOnly="true">
      <xsd:simpleType>
        <xsd:restriction base="dms:Note"/>
      </xsd:simpleType>
    </xsd:element>
    <xsd:element name="MediaServiceFastMetadata" ma:index="27" nillable="true" ma:displayName="MediaServiceFastMetadata" ma:hidden="true" ma:internalName="MediaServiceFastMetadata"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lcf76f155ced4ddcb4097134ff3c332f" ma:index="30" nillable="true" ma:taxonomy="true" ma:internalName="lcf76f155ced4ddcb4097134ff3c332f" ma:taxonomyFieldName="MediaServiceImageTags" ma:displayName="Image Tags" ma:readOnly="false" ma:fieldId="{5cf76f15-5ced-4ddc-b409-7134ff3c332f}" ma:taxonomyMulti="true" ma:sspId="7378aa68-586f-4892-bb77-0985b40f41a6" ma:termSetId="09814cd3-568e-fe90-9814-8d621ff8fb84" ma:anchorId="fba54fb3-c3e1-fe81-a776-ca4b69148c4d" ma:open="true" ma:isKeyword="false">
      <xsd:complexType>
        <xsd:sequence>
          <xsd:element ref="pc:Terms" minOccurs="0" maxOccurs="1"/>
        </xsd:sequence>
      </xsd:complex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element name="MediaServiceSearchProperties" ma:index="34" nillable="true" ma:displayName="MediaServiceSearchProperties" ma:hidden="true" ma:internalName="MediaServiceSearchProperties" ma:readOnly="true">
      <xsd:simpleType>
        <xsd:restriction base="dms:Note"/>
      </xsd:simpleType>
    </xsd:element>
    <xsd:element name="MediaServiceDateTaken" ma:index="35"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ma:index="21" ma:displayName="Author"/>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553f730d-4b07-4789-b89b-1394bf59d0f9">
      <Terms xmlns="http://schemas.microsoft.com/office/infopath/2007/PartnerControls"/>
    </lcf76f155ced4ddcb4097134ff3c332f>
    <TaxCatchAll xmlns="6b671bde-164d-4f2b-a1e1-9f14f15e7ca3">
      <Value>5</Value>
      <Value>1</Value>
    </TaxCatchAll>
    <TNOC_ClusterName xmlns="2f6a910d-138e-42c1-8e8a-320c1b7cf3f7">HEU-DIREKTION</TNOC_ClusterName>
    <n2a7a23bcc2241cb9261f9a914c7c1bb xmlns="6b671bde-164d-4f2b-a1e1-9f14f15e7ca3">
      <Terms xmlns="http://schemas.microsoft.com/office/infopath/2007/PartnerControls">
        <TermInfo xmlns="http://schemas.microsoft.com/office/infopath/2007/PartnerControls">
          <TermName xmlns="http://schemas.microsoft.com/office/infopath/2007/PartnerControls">TNO Internal</TermName>
          <TermId xmlns="http://schemas.microsoft.com/office/infopath/2007/PartnerControls">1a23c89f-ef54-4907-86fd-8242403ff722</TermId>
        </TermInfo>
      </Terms>
    </n2a7a23bcc2241cb9261f9a914c7c1bb>
    <bac4ab11065f4f6c809c820c57e320e5 xmlns="6b671bde-164d-4f2b-a1e1-9f14f15e7ca3">
      <Terms xmlns="http://schemas.microsoft.com/office/infopath/2007/PartnerControls"/>
    </bac4ab11065f4f6c809c820c57e320e5>
    <TNOC_ClusterId xmlns="2f6a910d-138e-42c1-8e8a-320c1b7cf3f7">060.54638</TNOC_ClusterId>
    <h15fbb78f4cb41d290e72f301ea2865f xmlns="6b671bde-164d-4f2b-a1e1-9f14f15e7ca3">
      <Terms xmlns="http://schemas.microsoft.com/office/infopath/2007/PartnerControls">
        <TermInfo xmlns="http://schemas.microsoft.com/office/infopath/2007/PartnerControls">
          <TermName xmlns="http://schemas.microsoft.com/office/infopath/2007/PartnerControls">Project</TermName>
          <TermId xmlns="http://schemas.microsoft.com/office/infopath/2007/PartnerControls">fa11c4c9-105f-402c-bb40-9a56b4989397</TermId>
        </TermInfo>
      </Terms>
    </h15fbb78f4cb41d290e72f301ea2865f>
    <lca20d149a844688b6abf34073d5c21d xmlns="6b671bde-164d-4f2b-a1e1-9f14f15e7ca3">
      <Terms xmlns="http://schemas.microsoft.com/office/infopath/2007/PartnerControls"/>
    </lca20d149a844688b6abf34073d5c21d>
    <cf581d8792c646118aad2c2c4ecdfa8c xmlns="6b671bde-164d-4f2b-a1e1-9f14f15e7ca3">
      <Terms xmlns="http://schemas.microsoft.com/office/infopath/2007/PartnerControls"/>
    </cf581d8792c646118aad2c2c4ecdfa8c>
    <_dlc_DocId xmlns="6b671bde-164d-4f2b-a1e1-9f14f15e7ca3">D262CPEY76H6-837626567-851</_dlc_DocId>
    <_dlc_DocIdUrl xmlns="6b671bde-164d-4f2b-a1e1-9f14f15e7ca3">
      <Url>https://365tno.sharepoint.com/teams/P060.54638/_layouts/15/DocIdRedir.aspx?ID=D262CPEY76H6-837626567-851</Url>
      <Description>D262CPEY76H6-837626567-851</Description>
    </_dlc_DocIdUrl>
  </documentManagement>
</p:properties>
</file>

<file path=customXml/itemProps1.xml><?xml version="1.0" encoding="utf-8"?>
<ds:datastoreItem xmlns:ds="http://schemas.openxmlformats.org/officeDocument/2006/customXml" ds:itemID="{AA7E662A-1FE2-4AC4-B32A-9AAA5E0C86B6}">
  <ds:schemaRefs>
    <ds:schemaRef ds:uri="http://schemas.microsoft.com/sharepoint/v3/contenttype/forms"/>
  </ds:schemaRefs>
</ds:datastoreItem>
</file>

<file path=customXml/itemProps2.xml><?xml version="1.0" encoding="utf-8"?>
<ds:datastoreItem xmlns:ds="http://schemas.openxmlformats.org/officeDocument/2006/customXml" ds:itemID="{E0BA451F-5AE8-420D-BEA7-643550B567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b671bde-164d-4f2b-a1e1-9f14f15e7ca3"/>
    <ds:schemaRef ds:uri="2f6a910d-138e-42c1-8e8a-320c1b7cf3f7"/>
    <ds:schemaRef ds:uri="553f730d-4b07-4789-b89b-1394bf59d0f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57F1A4A-D2CF-47E7-B485-FB2A444B8A04}">
  <ds:schemaRefs>
    <ds:schemaRef ds:uri="http://schemas.microsoft.com/sharepoint/events"/>
  </ds:schemaRefs>
</ds:datastoreItem>
</file>

<file path=customXml/itemProps4.xml><?xml version="1.0" encoding="utf-8"?>
<ds:datastoreItem xmlns:ds="http://schemas.openxmlformats.org/officeDocument/2006/customXml" ds:itemID="{6CDB9E18-0325-4126-908E-B6E8B685005C}">
  <ds:schemaRefs>
    <ds:schemaRef ds:uri="http://schemas.microsoft.com/office/2006/documentManagement/types"/>
    <ds:schemaRef ds:uri="553f730d-4b07-4789-b89b-1394bf59d0f9"/>
    <ds:schemaRef ds:uri="http://purl.org/dc/elements/1.1/"/>
    <ds:schemaRef ds:uri="6b671bde-164d-4f2b-a1e1-9f14f15e7ca3"/>
    <ds:schemaRef ds:uri="http://schemas.microsoft.com/office/2006/metadata/properties"/>
    <ds:schemaRef ds:uri="2f6a910d-138e-42c1-8e8a-320c1b7cf3f7"/>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Introduction</vt:lpstr>
      <vt:lpstr>Demand</vt:lpstr>
      <vt:lpstr>Supply</vt:lpstr>
      <vt:lpstr>Solution Uptake</vt:lpstr>
      <vt:lpstr>List</vt:lpstr>
      <vt:lpstr>Mitigate</vt:lpstr>
      <vt:lpstr>MitigateExposurereduction</vt:lpstr>
      <vt:lpstr>MitigateMitigationSupport</vt:lpstr>
      <vt:lpstr>MitigateRiskassessment</vt:lpstr>
      <vt:lpstr>PHASE</vt:lpstr>
      <vt:lpstr>Prepare</vt:lpstr>
      <vt:lpstr>PrepareCapacitydevelopment</vt:lpstr>
      <vt:lpstr>PrepareMonitoring</vt:lpstr>
      <vt:lpstr>PreparePreparednesssupport</vt:lpstr>
      <vt:lpstr>Recover</vt:lpstr>
      <vt:lpstr>RecoverEconomicrecovery</vt:lpstr>
      <vt:lpstr>RecoverEnvironmentalrecovery</vt:lpstr>
      <vt:lpstr>RecoverHumanitarianrecovery</vt:lpstr>
      <vt:lpstr>RecoverRecoverysupport</vt:lpstr>
      <vt:lpstr>RecoverReestablishinfrastructure</vt:lpstr>
      <vt:lpstr>Respond</vt:lpstr>
      <vt:lpstr>RespondBasicneedssupply</vt:lpstr>
      <vt:lpstr>RespondCommunicatetosociety</vt:lpstr>
      <vt:lpstr>RespondDisasterclearance</vt:lpstr>
      <vt:lpstr>RespondEmergencyhealthcare</vt:lpstr>
      <vt:lpstr>RespondRescueoperations</vt:lpstr>
      <vt:lpstr>RespondResponsesupport</vt:lpstr>
      <vt:lpstr>RespondSafeguardpopulationandanimals</vt:lpstr>
      <vt:lpstr>RespondSecurityandlawenforcement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Eileen Murphy</dc:creator>
  <cp:keywords/>
  <dc:description/>
  <cp:lastModifiedBy>Vullings, H.J.L.M. (Erik)</cp:lastModifiedBy>
  <cp:revision/>
  <dcterms:created xsi:type="dcterms:W3CDTF">2024-04-18T09:23:03Z</dcterms:created>
  <dcterms:modified xsi:type="dcterms:W3CDTF">2026-03-16T11:43:17Z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0x010100A35317DCC28344A7B82488658A034A5C0100AE5489423149014CBFD35292C41D3A0E</vt:lpwstr>
  </property>
  <property fmtid="{D5CDD505-2E9C-101B-9397-08002B2CF9AE}" pid="4" name="TNOC_DocumentType">
    <vt:lpwstr/>
  </property>
  <property fmtid="{D5CDD505-2E9C-101B-9397-08002B2CF9AE}" pid="5" name="TNOC_DocumentCategory">
    <vt:lpwstr/>
  </property>
  <property fmtid="{D5CDD505-2E9C-101B-9397-08002B2CF9AE}" pid="6" name="_dlc_DocIdItemGuid">
    <vt:lpwstr>2d4703de-3f5e-47a5-876a-254ef43dff8d</vt:lpwstr>
  </property>
  <property fmtid="{D5CDD505-2E9C-101B-9397-08002B2CF9AE}" pid="7" name="TNOC_ClusterType">
    <vt:lpwstr>1;#Project|fa11c4c9-105f-402c-bb40-9a56b4989397</vt:lpwstr>
  </property>
  <property fmtid="{D5CDD505-2E9C-101B-9397-08002B2CF9AE}" pid="8" name="TNOC_DocumentSetType">
    <vt:lpwstr/>
  </property>
  <property fmtid="{D5CDD505-2E9C-101B-9397-08002B2CF9AE}" pid="9" name="TNOC_DocumentClassification">
    <vt:lpwstr>5;#TNO Internal|1a23c89f-ef54-4907-86fd-8242403ff722</vt:lpwstr>
  </property>
</Properties>
</file>